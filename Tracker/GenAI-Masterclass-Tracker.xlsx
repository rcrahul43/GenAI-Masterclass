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'Modules'!$A$1:$R$49</definedName>
    <definedName name="_xlnm._FilterDatabase" localSheetId="6" hidden="1">'Resources'!$A$1:$O$292</definedName>
    <definedName name="_xlnm._FilterDatabase" localSheetId="7" hidden="1">'SystemDesign'!$A$1:$P$14</definedName>
    <definedName name="_xlnm._FilterDatabase" localSheetId="8" hidden="1">'LeadershipCareer'!$A$1:$K$8</definedName>
    <definedName name="_xlnm._FilterDatabase" localSheetId="9" hidden="1">'Weekly'!$A$1:$M$19</definedName>
    <definedName name="_xlnm._FilterDatabase" localSheetId="10" hidden="1">'DailyLog'!$A$1:$N$51</definedName>
    <definedName name="_xlnm._FilterDatabase" localSheetId="11" hidden="1">'Projects'!$A$1:$M$16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platform.openai.com/docs/guides/text" TargetMode="External" Id="rId1" /><Relationship Type="http://schemas.openxmlformats.org/officeDocument/2006/relationships/hyperlink" Target="https://docs.anthropic.com/en/docs/welcome" TargetMode="External" Id="rId2" /><Relationship Type="http://schemas.openxmlformats.org/officeDocument/2006/relationships/hyperlink" Target="https://ai.google.dev/gemini-api/docs/quickstart" TargetMode="External" Id="rId3" /><Relationship Type="http://schemas.openxmlformats.org/officeDocument/2006/relationships/hyperlink" Target="https://api-docs.deepseek.com/" TargetMode="External" Id="rId4" /><Relationship Type="http://schemas.openxmlformats.org/officeDocument/2006/relationships/hyperlink" Target="https://developers.openai.com/api/docs/guides/prompt-engineering" TargetMode="External" Id="rId5" /><Relationship Type="http://schemas.openxmlformats.org/officeDocument/2006/relationships/hyperlink" Target="https://www.oreilly.com/library/view/ai-engineering/9781098166298/" TargetMode="External" Id="rId6" /><Relationship Type="http://schemas.openxmlformats.org/officeDocument/2006/relationships/hyperlink" Target="https://www.youtube.com/watch?v=zjkBMFhNj_g" TargetMode="External" Id="rId7" /><Relationship Type="http://schemas.openxmlformats.org/officeDocument/2006/relationships/hyperlink" Target="https://arxiv.org/abs/1706.03762" TargetMode="External" Id="rId8" /><Relationship Type="http://schemas.openxmlformats.org/officeDocument/2006/relationships/hyperlink" Target="https://arxiv.org/abs/2210.03629" TargetMode="External" Id="rId9" /><Relationship Type="http://schemas.openxmlformats.org/officeDocument/2006/relationships/hyperlink" Target="https://developers.openai.com/api/docs/guides/prompt-engineering" TargetMode="External" Id="rId10" /><Relationship Type="http://schemas.openxmlformats.org/officeDocument/2006/relationships/hyperlink" Target="https://langchain-ai.github.io/langgraph/concepts/high_level/" TargetMode="External" Id="rId11" /><Relationship Type="http://schemas.openxmlformats.org/officeDocument/2006/relationships/hyperlink" Target="https://platform.claude.com/docs/en/docs/build-with-claude/overview" TargetMode="External" Id="rId12" /><Relationship Type="http://schemas.openxmlformats.org/officeDocument/2006/relationships/hyperlink" Target="https://fastapi.tiangolo.com/" TargetMode="External" Id="rId13" /><Relationship Type="http://schemas.openxmlformats.org/officeDocument/2006/relationships/hyperlink" Target="https://docs.pydantic.dev/latest/" TargetMode="External" Id="rId14" /><Relationship Type="http://schemas.openxmlformats.org/officeDocument/2006/relationships/hyperlink" Target="https://developers.openai.com/api/docs/" TargetMode="External" Id="rId15" /><Relationship Type="http://schemas.openxmlformats.org/officeDocument/2006/relationships/hyperlink" Target="https://developers.openai.com/api/docs/guides/prompt-engineering" TargetMode="External" Id="rId16" /><Relationship Type="http://schemas.openxmlformats.org/officeDocument/2006/relationships/hyperlink" Target="https://owasp.org/www-project-top-10-for-large-language-model-applications/" TargetMode="External" Id="rId17" /><Relationship Type="http://schemas.openxmlformats.org/officeDocument/2006/relationships/hyperlink" Target="https://arxiv.org/abs/1706.03762" TargetMode="External" Id="rId18" /><Relationship Type="http://schemas.openxmlformats.org/officeDocument/2006/relationships/hyperlink" Target="https://huggingface.co/docs/transformers/en/index" TargetMode="External" Id="rId19" /><Relationship Type="http://schemas.openxmlformats.org/officeDocument/2006/relationships/hyperlink" Target="https://huggingface.co/learn/nlp-course/chapter1/1" TargetMode="External" Id="rId20" /><Relationship Type="http://schemas.openxmlformats.org/officeDocument/2006/relationships/hyperlink" Target="https://developers.openai.com/api/docs/guides/production-best-practices" TargetMode="External" Id="rId21" /><Relationship Type="http://schemas.openxmlformats.org/officeDocument/2006/relationships/hyperlink" Target="https://arxiv.org/abs/2104.09864" TargetMode="External" Id="rId22" /><Relationship Type="http://schemas.openxmlformats.org/officeDocument/2006/relationships/hyperlink" Target="https://arxiv.org/abs/2203.15556" TargetMode="External" Id="rId23" /><Relationship Type="http://schemas.openxmlformats.org/officeDocument/2006/relationships/hyperlink" Target="https://github.com/openai/tiktoken" TargetMode="External" Id="rId24" /><Relationship Type="http://schemas.openxmlformats.org/officeDocument/2006/relationships/hyperlink" Target="https://developers.openai.com/api/docs/guides/text-generation" TargetMode="External" Id="rId25" /><Relationship Type="http://schemas.openxmlformats.org/officeDocument/2006/relationships/hyperlink" Target="https://platform.claude.com/docs/en/docs/build-with-claude/context-windows" TargetMode="External" Id="rId26" /><Relationship Type="http://schemas.openxmlformats.org/officeDocument/2006/relationships/hyperlink" Target="https://ai.google.dev/gemini-api/docs/long-context" TargetMode="External" Id="rId27" /><Relationship Type="http://schemas.openxmlformats.org/officeDocument/2006/relationships/hyperlink" Target="https://arxiv.org/abs/1706.03762" TargetMode="External" Id="rId28" /><Relationship Type="http://schemas.openxmlformats.org/officeDocument/2006/relationships/hyperlink" Target="https://arxiv.org/abs/2307.03172" TargetMode="External" Id="rId29" /><Relationship Type="http://schemas.openxmlformats.org/officeDocument/2006/relationships/hyperlink" Target="https://arxiv.org/abs/1409.0473" TargetMode="External" Id="rId30" /><Relationship Type="http://schemas.openxmlformats.org/officeDocument/2006/relationships/hyperlink" Target="https://docs.vllm.ai/en/latest/" TargetMode="External" Id="rId31" /><Relationship Type="http://schemas.openxmlformats.org/officeDocument/2006/relationships/hyperlink" Target="https://github.com/vllm-project/vllm" TargetMode="External" Id="rId32" /><Relationship Type="http://schemas.openxmlformats.org/officeDocument/2006/relationships/hyperlink" Target="https://github.com/ollama/ollama" TargetMode="External" Id="rId33" /><Relationship Type="http://schemas.openxmlformats.org/officeDocument/2006/relationships/hyperlink" Target="https://huggingface.co/docs/transformers/en/main_classes/quantization" TargetMode="External" Id="rId34" /><Relationship Type="http://schemas.openxmlformats.org/officeDocument/2006/relationships/hyperlink" Target="https://developer.nvidia.com/tensorrt-llm" TargetMode="External" Id="rId35" /><Relationship Type="http://schemas.openxmlformats.org/officeDocument/2006/relationships/hyperlink" Target="https://arxiv.org/abs/2309.06180" TargetMode="External" Id="rId36" /><Relationship Type="http://schemas.openxmlformats.org/officeDocument/2006/relationships/hyperlink" Target="https://arxiv.org/abs/2211.17192" TargetMode="External" Id="rId37" /><Relationship Type="http://schemas.openxmlformats.org/officeDocument/2006/relationships/hyperlink" Target="https://docs.litellm.ai/docs/" TargetMode="External" Id="rId38" /><Relationship Type="http://schemas.openxmlformats.org/officeDocument/2006/relationships/hyperlink" Target="https://github.com/BerriAI/litellm" TargetMode="External" Id="rId39" /><Relationship Type="http://schemas.openxmlformats.org/officeDocument/2006/relationships/hyperlink" Target="https://docs.litellm.ai/docs/routing" TargetMode="External" Id="rId40" /><Relationship Type="http://schemas.openxmlformats.org/officeDocument/2006/relationships/hyperlink" Target="https://docs.litellm.ai/docs/proxy/load_balancing" TargetMode="External" Id="rId41" /><Relationship Type="http://schemas.openxmlformats.org/officeDocument/2006/relationships/hyperlink" Target="https://docs.litellm.ai/docs/proxy/provider_budget_routing" TargetMode="External" Id="rId42" /><Relationship Type="http://schemas.openxmlformats.org/officeDocument/2006/relationships/hyperlink" Target="https://docs.litellm.ai/docs/proxy/budget_fallbacks" TargetMode="External" Id="rId43" /><Relationship Type="http://schemas.openxmlformats.org/officeDocument/2006/relationships/hyperlink" Target="https://developers.openai.com/api/docs/" TargetMode="External" Id="rId44" /><Relationship Type="http://schemas.openxmlformats.org/officeDocument/2006/relationships/hyperlink" Target="https://docs.anthropic.com/en/api/overview" TargetMode="External" Id="rId45" /><Relationship Type="http://schemas.openxmlformats.org/officeDocument/2006/relationships/hyperlink" Target="https://developers.openai.com/api/docs/" TargetMode="External" Id="rId46" /><Relationship Type="http://schemas.openxmlformats.org/officeDocument/2006/relationships/hyperlink" Target="https://github.com/openai/openai-python" TargetMode="External" Id="rId47" /><Relationship Type="http://schemas.openxmlformats.org/officeDocument/2006/relationships/hyperlink" Target="https://platform.claude.com/docs/en/api/overview" TargetMode="External" Id="rId48" /><Relationship Type="http://schemas.openxmlformats.org/officeDocument/2006/relationships/hyperlink" Target="https://github.com/anthropics/anthropic-sdk-python" TargetMode="External" Id="rId49" /><Relationship Type="http://schemas.openxmlformats.org/officeDocument/2006/relationships/hyperlink" Target="https://ai.google.dev/gemini-api/docs" TargetMode="External" Id="rId50" /><Relationship Type="http://schemas.openxmlformats.org/officeDocument/2006/relationships/hyperlink" Target="https://github.com/googleapis/python-genai" TargetMode="External" Id="rId51" /><Relationship Type="http://schemas.openxmlformats.org/officeDocument/2006/relationships/hyperlink" Target="https://api-docs.deepseek.com/" TargetMode="External" Id="rId52" /><Relationship Type="http://schemas.openxmlformats.org/officeDocument/2006/relationships/hyperlink" Target="https://developers.openai.com/api/docs/guides/prompt-engineering" TargetMode="External" Id="rId53" /><Relationship Type="http://schemas.openxmlformats.org/officeDocument/2006/relationships/hyperlink" Target="https://developers.openai.com/api/docs/guides/structured-outputs" TargetMode="External" Id="rId54" /><Relationship Type="http://schemas.openxmlformats.org/officeDocument/2006/relationships/hyperlink" Target="https://www.promptfoo.dev/docs/intro/" TargetMode="External" Id="rId55" /><Relationship Type="http://schemas.openxmlformats.org/officeDocument/2006/relationships/hyperlink" Target="https://developers.openai.com/api/docs/guides/function-calling" TargetMode="External" Id="rId56" /><Relationship Type="http://schemas.openxmlformats.org/officeDocument/2006/relationships/hyperlink" Target="https://platform.claude.com/docs/en/docs/build-with-claude/tool-use" TargetMode="External" Id="rId57" /><Relationship Type="http://schemas.openxmlformats.org/officeDocument/2006/relationships/hyperlink" Target="https://arxiv.org/abs/2201.11903" TargetMode="External" Id="rId58" /><Relationship Type="http://schemas.openxmlformats.org/officeDocument/2006/relationships/hyperlink" Target="https://owasp.org/www-project-top-10-for-large-language-model-applications/" TargetMode="External" Id="rId59" /><Relationship Type="http://schemas.openxmlformats.org/officeDocument/2006/relationships/hyperlink" Target="https://developers.openai.com/api/docs/guides/structured-outputs" TargetMode="External" Id="rId60" /><Relationship Type="http://schemas.openxmlformats.org/officeDocument/2006/relationships/hyperlink" Target="https://developers.openai.com/api/docs/guides/function-calling" TargetMode="External" Id="rId61" /><Relationship Type="http://schemas.openxmlformats.org/officeDocument/2006/relationships/hyperlink" Target="https://platform.claude.com/docs/en/docs/build-with-claude/tool-use" TargetMode="External" Id="rId62" /><Relationship Type="http://schemas.openxmlformats.org/officeDocument/2006/relationships/hyperlink" Target="https://ai.google.dev/gemini-api/docs/function-calling" TargetMode="External" Id="rId63" /><Relationship Type="http://schemas.openxmlformats.org/officeDocument/2006/relationships/hyperlink" Target="https://www.promptfoo.dev/docs/intro/" TargetMode="External" Id="rId64" /><Relationship Type="http://schemas.openxmlformats.org/officeDocument/2006/relationships/hyperlink" Target="https://developers.openai.com/api/docs/guides/prompt-engineering" TargetMode="External" Id="rId65" /><Relationship Type="http://schemas.openxmlformats.org/officeDocument/2006/relationships/hyperlink" Target="https://json-schema.org/learn/getting-started-step-by-step" TargetMode="External" Id="rId66" /><Relationship Type="http://schemas.openxmlformats.org/officeDocument/2006/relationships/hyperlink" Target="https://langchain-ai.github.io/langgraph/concepts/high_level/" TargetMode="External" Id="rId67" /><Relationship Type="http://schemas.openxmlformats.org/officeDocument/2006/relationships/hyperlink" Target="https://langchain-ai.github.io/langgraph/concepts/memory/" TargetMode="External" Id="rId68" /><Relationship Type="http://schemas.openxmlformats.org/officeDocument/2006/relationships/hyperlink" Target="https://langchain-ai.github.io/langgraph/concepts/persistence/" TargetMode="External" Id="rId69" /><Relationship Type="http://schemas.openxmlformats.org/officeDocument/2006/relationships/hyperlink" Target="https://python.langchain.com/docs/concepts/tools/" TargetMode="External" Id="rId70" /><Relationship Type="http://schemas.openxmlformats.org/officeDocument/2006/relationships/hyperlink" Target="https://arxiv.org/abs/2210.03629" TargetMode="External" Id="rId71" /><Relationship Type="http://schemas.openxmlformats.org/officeDocument/2006/relationships/hyperlink" Target="https://python.langchain.com/docs/concepts/tools/" TargetMode="External" Id="rId72" /><Relationship Type="http://schemas.openxmlformats.org/officeDocument/2006/relationships/hyperlink" Target="https://langchain-ai.github.io/langgraph/concepts/memory/" TargetMode="External" Id="rId73" /><Relationship Type="http://schemas.openxmlformats.org/officeDocument/2006/relationships/hyperlink" Target="https://langchain-ai.github.io/langgraph/concepts/persistence/" TargetMode="External" Id="rId74" /><Relationship Type="http://schemas.openxmlformats.org/officeDocument/2006/relationships/hyperlink" Target="https://langchain-ai.github.io/langgraph/concepts/high_level/" TargetMode="External" Id="rId75" /><Relationship Type="http://schemas.openxmlformats.org/officeDocument/2006/relationships/hyperlink" Target="https://arxiv.org/abs/2210.03629" TargetMode="External" Id="rId76" /><Relationship Type="http://schemas.openxmlformats.org/officeDocument/2006/relationships/hyperlink" Target="https://langchain-ai.github.io/langgraph/concepts/high_level/" TargetMode="External" Id="rId77" /><Relationship Type="http://schemas.openxmlformats.org/officeDocument/2006/relationships/hyperlink" Target="https://langchain-ai.github.io/langgraph/concepts/human_in_the_loop/" TargetMode="External" Id="rId78" /><Relationship Type="http://schemas.openxmlformats.org/officeDocument/2006/relationships/hyperlink" Target="https://arxiv.org/abs/2210.03629" TargetMode="External" Id="rId79" /><Relationship Type="http://schemas.openxmlformats.org/officeDocument/2006/relationships/hyperlink" Target="https://docs.langchain.com/langsmith/home" TargetMode="External" Id="rId80" /><Relationship Type="http://schemas.openxmlformats.org/officeDocument/2006/relationships/hyperlink" Target="https://langchain-ai.github.io/langgraph/concepts/high_level/" TargetMode="External" Id="rId81" /><Relationship Type="http://schemas.openxmlformats.org/officeDocument/2006/relationships/hyperlink" Target="https://langchain-ai.github.io/langgraph/concepts/human_in_the_loop/" TargetMode="External" Id="rId82" /><Relationship Type="http://schemas.openxmlformats.org/officeDocument/2006/relationships/hyperlink" Target="https://langchain-ai.github.io/langgraph/concepts/streaming/" TargetMode="External" Id="rId83" /><Relationship Type="http://schemas.openxmlformats.org/officeDocument/2006/relationships/hyperlink" Target="https://langchain-ai.github.io/langgraph/concepts/multi_agent/" TargetMode="External" Id="rId84" /><Relationship Type="http://schemas.openxmlformats.org/officeDocument/2006/relationships/hyperlink" Target="https://docs.langchain.com/langsmith/home" TargetMode="External" Id="rId85" /><Relationship Type="http://schemas.openxmlformats.org/officeDocument/2006/relationships/hyperlink" Target="https://arxiv.org/abs/2005.11401" TargetMode="External" Id="rId86" /><Relationship Type="http://schemas.openxmlformats.org/officeDocument/2006/relationships/hyperlink" Target="https://docs.llamaindex.ai/en/stable/" TargetMode="External" Id="rId87" /><Relationship Type="http://schemas.openxmlformats.org/officeDocument/2006/relationships/hyperlink" Target="https://python.langchain.com/docs/concepts/rag/" TargetMode="External" Id="rId88" /><Relationship Type="http://schemas.openxmlformats.org/officeDocument/2006/relationships/hyperlink" Target="https://docs.pinecone.io/guides/get-started/overview" TargetMode="External" Id="rId89" /><Relationship Type="http://schemas.openxmlformats.org/officeDocument/2006/relationships/hyperlink" Target="https://docs.cohere.com/docs/rerank-overview" TargetMode="External" Id="rId90" /><Relationship Type="http://schemas.openxmlformats.org/officeDocument/2006/relationships/hyperlink" Target="https://microsoft.github.io/graphrag/" TargetMode="External" Id="rId91" /><Relationship Type="http://schemas.openxmlformats.org/officeDocument/2006/relationships/hyperlink" Target="https://arxiv.org/abs/2005.11401" TargetMode="External" Id="rId92" /><Relationship Type="http://schemas.openxmlformats.org/officeDocument/2006/relationships/hyperlink" Target="https://docs.llamaindex.ai/en/stable/" TargetMode="External" Id="rId93" /><Relationship Type="http://schemas.openxmlformats.org/officeDocument/2006/relationships/hyperlink" Target="https://python.langchain.com/docs/concepts/rag/" TargetMode="External" Id="rId94" /><Relationship Type="http://schemas.openxmlformats.org/officeDocument/2006/relationships/hyperlink" Target="https://docs.pinecone.io/guides/get-started/overview" TargetMode="External" Id="rId95" /><Relationship Type="http://schemas.openxmlformats.org/officeDocument/2006/relationships/hyperlink" Target="https://docs.cohere.com/docs/rerank-overview" TargetMode="External" Id="rId96" /><Relationship Type="http://schemas.openxmlformats.org/officeDocument/2006/relationships/hyperlink" Target="https://microsoft.github.io/graphrag/" TargetMode="External" Id="rId97" /><Relationship Type="http://schemas.openxmlformats.org/officeDocument/2006/relationships/hyperlink" Target="https://arxiv.org/abs/2005.11401" TargetMode="External" Id="rId98" /><Relationship Type="http://schemas.openxmlformats.org/officeDocument/2006/relationships/hyperlink" Target="https://docs.llamaindex.ai/en/stable/" TargetMode="External" Id="rId99" /><Relationship Type="http://schemas.openxmlformats.org/officeDocument/2006/relationships/hyperlink" Target="https://python.langchain.com/docs/concepts/rag/" TargetMode="External" Id="rId100" /><Relationship Type="http://schemas.openxmlformats.org/officeDocument/2006/relationships/hyperlink" Target="https://docs.pinecone.io/guides/get-started/overview" TargetMode="External" Id="rId101" /><Relationship Type="http://schemas.openxmlformats.org/officeDocument/2006/relationships/hyperlink" Target="https://docs.cohere.com/docs/rerank-overview" TargetMode="External" Id="rId102" /><Relationship Type="http://schemas.openxmlformats.org/officeDocument/2006/relationships/hyperlink" Target="https://microsoft.github.io/graphrag/" TargetMode="External" Id="rId103" /><Relationship Type="http://schemas.openxmlformats.org/officeDocument/2006/relationships/hyperlink" Target="https://arxiv.org/abs/2005.11401" TargetMode="External" Id="rId104" /><Relationship Type="http://schemas.openxmlformats.org/officeDocument/2006/relationships/hyperlink" Target="https://docs.llamaindex.ai/en/stable/" TargetMode="External" Id="rId105" /><Relationship Type="http://schemas.openxmlformats.org/officeDocument/2006/relationships/hyperlink" Target="https://python.langchain.com/docs/concepts/rag/" TargetMode="External" Id="rId106" /><Relationship Type="http://schemas.openxmlformats.org/officeDocument/2006/relationships/hyperlink" Target="https://docs.pinecone.io/guides/get-started/overview" TargetMode="External" Id="rId107" /><Relationship Type="http://schemas.openxmlformats.org/officeDocument/2006/relationships/hyperlink" Target="https://docs.cohere.com/docs/rerank-overview" TargetMode="External" Id="rId108" /><Relationship Type="http://schemas.openxmlformats.org/officeDocument/2006/relationships/hyperlink" Target="https://microsoft.github.io/graphrag/" TargetMode="External" Id="rId109" /><Relationship Type="http://schemas.openxmlformats.org/officeDocument/2006/relationships/hyperlink" Target="https://langchain-ai.github.io/langgraph/concepts/multi_agent/" TargetMode="External" Id="rId110" /><Relationship Type="http://schemas.openxmlformats.org/officeDocument/2006/relationships/hyperlink" Target="https://langchain-ai.github.io/langgraph/concepts/low_level/" TargetMode="External" Id="rId111" /><Relationship Type="http://schemas.openxmlformats.org/officeDocument/2006/relationships/hyperlink" Target="https://microsoft.github.io/autogen/stable//index.html" TargetMode="External" Id="rId112" /><Relationship Type="http://schemas.openxmlformats.org/officeDocument/2006/relationships/hyperlink" Target="https://docs.crewai.com/" TargetMode="External" Id="rId113" /><Relationship Type="http://schemas.openxmlformats.org/officeDocument/2006/relationships/hyperlink" Target="https://arxiv.org/abs/2308.08155" TargetMode="External" Id="rId114" /><Relationship Type="http://schemas.openxmlformats.org/officeDocument/2006/relationships/hyperlink" Target="https://langchain-ai.github.io/langgraph/concepts/multi_agent/" TargetMode="External" Id="rId115" /><Relationship Type="http://schemas.openxmlformats.org/officeDocument/2006/relationships/hyperlink" Target="https://arxiv.org/abs/2308.08155" TargetMode="External" Id="rId116" /><Relationship Type="http://schemas.openxmlformats.org/officeDocument/2006/relationships/hyperlink" Target="https://langchain-ai.github.io/langgraph/concepts/multi_agent/" TargetMode="External" Id="rId117" /><Relationship Type="http://schemas.openxmlformats.org/officeDocument/2006/relationships/hyperlink" Target="https://docs.crewai.com/" TargetMode="External" Id="rId118" /><Relationship Type="http://schemas.openxmlformats.org/officeDocument/2006/relationships/hyperlink" Target="https://microsoft.github.io/autogen/stable//index.html" TargetMode="External" Id="rId119" /><Relationship Type="http://schemas.openxmlformats.org/officeDocument/2006/relationships/hyperlink" Target="https://arxiv.org/abs/2308.08155" TargetMode="External" Id="rId120" /><Relationship Type="http://schemas.openxmlformats.org/officeDocument/2006/relationships/hyperlink" Target="https://platform.openai.com/docs/guides/speech-to-text" TargetMode="External" Id="rId121" /><Relationship Type="http://schemas.openxmlformats.org/officeDocument/2006/relationships/hyperlink" Target="https://platform.openai.com/docs/guides/text-to-speech" TargetMode="External" Id="rId122" /><Relationship Type="http://schemas.openxmlformats.org/officeDocument/2006/relationships/hyperlink" Target="https://platform.openai.com/docs/guides/realtime" TargetMode="External" Id="rId123" /><Relationship Type="http://schemas.openxmlformats.org/officeDocument/2006/relationships/hyperlink" Target="https://github.com/SYSTRAN/faster-whisper" TargetMode="External" Id="rId124" /><Relationship Type="http://schemas.openxmlformats.org/officeDocument/2006/relationships/hyperlink" Target="https://github.com/wiseman/py-webrtcvad" TargetMode="External" Id="rId125" /><Relationship Type="http://schemas.openxmlformats.org/officeDocument/2006/relationships/hyperlink" Target="https://developers.deepgram.com/docs/streaming" TargetMode="External" Id="rId126" /><Relationship Type="http://schemas.openxmlformats.org/officeDocument/2006/relationships/hyperlink" Target="https://elevenlabs.io/docs/api-reference/text-to-speech" TargetMode="External" Id="rId127" /><Relationship Type="http://schemas.openxmlformats.org/officeDocument/2006/relationships/hyperlink" Target="https://platform.openai.com/docs/guides/images-vision" TargetMode="External" Id="rId128" /><Relationship Type="http://schemas.openxmlformats.org/officeDocument/2006/relationships/hyperlink" Target="https://platform.claude.com/docs/en/build-with-claude/vision" TargetMode="External" Id="rId129" /><Relationship Type="http://schemas.openxmlformats.org/officeDocument/2006/relationships/hyperlink" Target="https://ai.google.dev/gemini-api/docs/vision" TargetMode="External" Id="rId130" /><Relationship Type="http://schemas.openxmlformats.org/officeDocument/2006/relationships/hyperlink" Target="https://pymupdf.readthedocs.io/" TargetMode="External" Id="rId131" /><Relationship Type="http://schemas.openxmlformats.org/officeDocument/2006/relationships/hyperlink" Target="https://layout-parser.github.io/" TargetMode="External" Id="rId132" /><Relationship Type="http://schemas.openxmlformats.org/officeDocument/2006/relationships/hyperlink" Target="https://deepeval.com/docs/multimodal-metrics" TargetMode="External" Id="rId133" /><Relationship Type="http://schemas.openxmlformats.org/officeDocument/2006/relationships/hyperlink" Target="https://modelcontextprotocol.io/docs/getting-started/intro" TargetMode="External" Id="rId134" /><Relationship Type="http://schemas.openxmlformats.org/officeDocument/2006/relationships/hyperlink" Target="https://github.com/modelcontextprotocol/python-sdk" TargetMode="External" Id="rId135" /><Relationship Type="http://schemas.openxmlformats.org/officeDocument/2006/relationships/hyperlink" Target="https://modelcontextprotocol.io/specification" TargetMode="External" Id="rId136" /><Relationship Type="http://schemas.openxmlformats.org/officeDocument/2006/relationships/hyperlink" Target="https://www.anthropic.com/news/model-context-protocol" TargetMode="External" Id="rId137" /><Relationship Type="http://schemas.openxmlformats.org/officeDocument/2006/relationships/hyperlink" Target="https://docs.cursor.com/context/mcp" TargetMode="External" Id="rId138" /><Relationship Type="http://schemas.openxmlformats.org/officeDocument/2006/relationships/hyperlink" Target="https://a2a-protocol.org/latest/" TargetMode="External" Id="rId139" /><Relationship Type="http://schemas.openxmlformats.org/officeDocument/2006/relationships/hyperlink" Target="https://github.com/a2aproject/A2A" TargetMode="External" Id="rId140" /><Relationship Type="http://schemas.openxmlformats.org/officeDocument/2006/relationships/hyperlink" Target="https://developers.googleblog.com/en/a2a-a-new-era-of-agent-interoperability/" TargetMode="External" Id="rId141" /><Relationship Type="http://schemas.openxmlformats.org/officeDocument/2006/relationships/hyperlink" Target="https://modelcontextprotocol.io/docs/getting-started/intro" TargetMode="External" Id="rId142" /><Relationship Type="http://schemas.openxmlformats.org/officeDocument/2006/relationships/hyperlink" Target="https://langchain-ai.github.io/langgraph/concepts/multi_agent/" TargetMode="External" Id="rId143" /><Relationship Type="http://schemas.openxmlformats.org/officeDocument/2006/relationships/hyperlink" Target="https://a2a-protocol.org/latest/" TargetMode="External" Id="rId144" /><Relationship Type="http://schemas.openxmlformats.org/officeDocument/2006/relationships/hyperlink" Target="https://langchain-ai.github.io/langgraph/concepts/persistence/" TargetMode="External" Id="rId145" /><Relationship Type="http://schemas.openxmlformats.org/officeDocument/2006/relationships/hyperlink" Target="https://docs.temporal.io/workflows" TargetMode="External" Id="rId146" /><Relationship Type="http://schemas.openxmlformats.org/officeDocument/2006/relationships/hyperlink" Target="https://opentelemetry.io/docs/" TargetMode="External" Id="rId147" /><Relationship Type="http://schemas.openxmlformats.org/officeDocument/2006/relationships/hyperlink" Target="https://www.enterpriseintegrationpatterns.com/" TargetMode="External" Id="rId148" /><Relationship Type="http://schemas.openxmlformats.org/officeDocument/2006/relationships/hyperlink" Target="https://modelcontextprotocol.io/" TargetMode="External" Id="rId149" /><Relationship Type="http://schemas.openxmlformats.org/officeDocument/2006/relationships/hyperlink" Target="https://spec.modelcontextprotocol.io/" TargetMode="External" Id="rId150" /><Relationship Type="http://schemas.openxmlformats.org/officeDocument/2006/relationships/hyperlink" Target="https://github.com/modelcontextprotocol/python-sdk" TargetMode="External" Id="rId151" /><Relationship Type="http://schemas.openxmlformats.org/officeDocument/2006/relationships/hyperlink" Target="https://docs.cursor.com/" TargetMode="External" Id="rId152" /><Relationship Type="http://schemas.openxmlformats.org/officeDocument/2006/relationships/hyperlink" Target="https://support.anthropic.com/" TargetMode="External" Id="rId153" /><Relationship Type="http://schemas.openxmlformats.org/officeDocument/2006/relationships/hyperlink" Target="https://www.openpolicyagent.org/docs/latest/" TargetMode="External" Id="rId154" /><Relationship Type="http://schemas.openxmlformats.org/officeDocument/2006/relationships/hyperlink" Target="https://owasp.org/www-project-top-10-for-large-language-model-applications/" TargetMode="External" Id="rId155" /><Relationship Type="http://schemas.openxmlformats.org/officeDocument/2006/relationships/hyperlink" Target="https://deepeval.com/docs/getting-started" TargetMode="External" Id="rId156" /><Relationship Type="http://schemas.openxmlformats.org/officeDocument/2006/relationships/hyperlink" Target="https://deepeval.com/docs/metrics-llm-evals" TargetMode="External" Id="rId157" /><Relationship Type="http://schemas.openxmlformats.org/officeDocument/2006/relationships/hyperlink" Target="https://docs.smith.langchain.com/evaluation" TargetMode="External" Id="rId158" /><Relationship Type="http://schemas.openxmlformats.org/officeDocument/2006/relationships/hyperlink" Target="https://platform.openai.com/docs/guides/evals" TargetMode="External" Id="rId159" /><Relationship Type="http://schemas.openxmlformats.org/officeDocument/2006/relationships/hyperlink" Target="https://crfm.stanford.edu/helm/" TargetMode="External" Id="rId160" /><Relationship Type="http://schemas.openxmlformats.org/officeDocument/2006/relationships/hyperlink" Target="https://docs.smith.langchain.com/" TargetMode="External" Id="rId161" /><Relationship Type="http://schemas.openxmlformats.org/officeDocument/2006/relationships/hyperlink" Target="https://docs.smith.langchain.com/tracing" TargetMode="External" Id="rId162" /><Relationship Type="http://schemas.openxmlformats.org/officeDocument/2006/relationships/hyperlink" Target="https://opentelemetry.io/docs/" TargetMode="External" Id="rId163" /><Relationship Type="http://schemas.openxmlformats.org/officeDocument/2006/relationships/hyperlink" Target="https://opentelemetry.io/docs/specs/semconv/gen-ai/" TargetMode="External" Id="rId164" /><Relationship Type="http://schemas.openxmlformats.org/officeDocument/2006/relationships/hyperlink" Target="https://github.com/traceloop/openllmetry" TargetMode="External" Id="rId165" /><Relationship Type="http://schemas.openxmlformats.org/officeDocument/2006/relationships/hyperlink" Target="https://www.promptfoo.dev/docs/intro/" TargetMode="External" Id="rId166" /><Relationship Type="http://schemas.openxmlformats.org/officeDocument/2006/relationships/hyperlink" Target="https://www.promptfoo.dev/docs/red-team/" TargetMode="External" Id="rId167" /><Relationship Type="http://schemas.openxmlformats.org/officeDocument/2006/relationships/hyperlink" Target="https://owasp.org/www-project-top-10-for-large-language-model-applications/" TargetMode="External" Id="rId168" /><Relationship Type="http://schemas.openxmlformats.org/officeDocument/2006/relationships/hyperlink" Target="https://microsoft.github.io/presidio/" TargetMode="External" Id="rId169" /><Relationship Type="http://schemas.openxmlformats.org/officeDocument/2006/relationships/hyperlink" Target="https://platform.openai.com/docs/guides/moderation" TargetMode="External" Id="rId170" /><Relationship Type="http://schemas.openxmlformats.org/officeDocument/2006/relationships/hyperlink" Target="https://www.nist.gov/itl/ai-risk-management-framework" TargetMode="External" Id="rId171" /><Relationship Type="http://schemas.openxmlformats.org/officeDocument/2006/relationships/hyperlink" Target="https://huggingface.co/docs/peft/index" TargetMode="External" Id="rId172" /><Relationship Type="http://schemas.openxmlformats.org/officeDocument/2006/relationships/hyperlink" Target="https://arxiv.org/abs/2106.09685" TargetMode="External" Id="rId173" /><Relationship Type="http://schemas.openxmlformats.org/officeDocument/2006/relationships/hyperlink" Target="https://arxiv.org/abs/2305.14314" TargetMode="External" Id="rId174" /><Relationship Type="http://schemas.openxmlformats.org/officeDocument/2006/relationships/hyperlink" Target="https://huggingface.co/docs/trl/sft_trainer" TargetMode="External" Id="rId175" /><Relationship Type="http://schemas.openxmlformats.org/officeDocument/2006/relationships/hyperlink" Target="https://github.com/TimDettmers/bitsandbytes" TargetMode="External" Id="rId176" /><Relationship Type="http://schemas.openxmlformats.org/officeDocument/2006/relationships/hyperlink" Target="https://docs.vllm.ai/en/latest/" TargetMode="External" Id="rId177" /><Relationship Type="http://schemas.openxmlformats.org/officeDocument/2006/relationships/hyperlink" Target="https://arxiv.org/abs/2005.11401" TargetMode="External" Id="rId178" /><Relationship Type="http://schemas.openxmlformats.org/officeDocument/2006/relationships/hyperlink" Target="https://arxiv.org/abs/2106.09685" TargetMode="External" Id="rId179" /><Relationship Type="http://schemas.openxmlformats.org/officeDocument/2006/relationships/hyperlink" Target="https://huggingface.co/docs/peft/index" TargetMode="External" Id="rId180" /><Relationship Type="http://schemas.openxmlformats.org/officeDocument/2006/relationships/hyperlink" Target="https://python.langchain.com/docs/concepts/rag/" TargetMode="External" Id="rId181" /><Relationship Type="http://schemas.openxmlformats.org/officeDocument/2006/relationships/hyperlink" Target="https://dspy.ai/" TargetMode="External" Id="rId182" /><Relationship Type="http://schemas.openxmlformats.org/officeDocument/2006/relationships/hyperlink" Target="https://docs.vllm.ai/en/latest/" TargetMode="External" Id="rId183" /><Relationship Type="http://schemas.openxmlformats.org/officeDocument/2006/relationships/hyperlink" Target="https://huggingface.co/docs/peft/index" TargetMode="External" Id="rId184" /><Relationship Type="http://schemas.openxmlformats.org/officeDocument/2006/relationships/hyperlink" Target="https://github.com/vllm-project/vllm" TargetMode="External" Id="rId185" /><Relationship Type="http://schemas.openxmlformats.org/officeDocument/2006/relationships/hyperlink" Target="https://fastapi.tiangolo.com/" TargetMode="External" Id="rId186" /><Relationship Type="http://schemas.openxmlformats.org/officeDocument/2006/relationships/hyperlink" Target="https://fastapi.tiangolo.com/" TargetMode="External" Id="rId187" /><Relationship Type="http://schemas.openxmlformats.org/officeDocument/2006/relationships/hyperlink" Target="https://www.uvicorn.org/" TargetMode="External" Id="rId188" /><Relationship Type="http://schemas.openxmlformats.org/officeDocument/2006/relationships/hyperlink" Target="https://github.com/openai/openai-python" TargetMode="External" Id="rId189" /><Relationship Type="http://schemas.openxmlformats.org/officeDocument/2006/relationships/hyperlink" Target="https://kubernetes.io/docs/home/" TargetMode="External" Id="rId190" /><Relationship Type="http://schemas.openxmlformats.org/officeDocument/2006/relationships/hyperlink" Target="https://docs.docker.com/" TargetMode="External" Id="rId191" /><Relationship Type="http://schemas.openxmlformats.org/officeDocument/2006/relationships/hyperlink" Target="https://docs.vllm.ai/en/latest/" TargetMode="External" Id="rId192" /><Relationship Type="http://schemas.openxmlformats.org/officeDocument/2006/relationships/hyperlink" Target="https://redis.io/docs/latest/" TargetMode="External" Id="rId193" /><Relationship Type="http://schemas.openxmlformats.org/officeDocument/2006/relationships/hyperlink" Target="https://kafka.apache.org/documentation/" TargetMode="External" Id="rId194" /><Relationship Type="http://schemas.openxmlformats.org/officeDocument/2006/relationships/hyperlink" Target="https://docs.ray.io/en/latest/" TargetMode="External" Id="rId195" /><Relationship Type="http://schemas.openxmlformats.org/officeDocument/2006/relationships/hyperlink" Target="https://docs.vllm.ai/en/latest/" TargetMode="External" Id="rId196" /><Relationship Type="http://schemas.openxmlformats.org/officeDocument/2006/relationships/hyperlink" Target="https://openai.com/api/pricing/" TargetMode="External" Id="rId197" /><Relationship Type="http://schemas.openxmlformats.org/officeDocument/2006/relationships/hyperlink" Target="https://owasp.org/www-project-top-10-for-large-language-model-applications/" TargetMode="External" Id="rId198" /><Relationship Type="http://schemas.openxmlformats.org/officeDocument/2006/relationships/hyperlink" Target="https://www.nist.gov/itl/ai-risk-management-framework" TargetMode="External" Id="rId199" /><Relationship Type="http://schemas.openxmlformats.org/officeDocument/2006/relationships/hyperlink" Target="https://owasp.org/www-project-top-10-for-large-language-model-applications/" TargetMode="External" Id="rId200" /><Relationship Type="http://schemas.openxmlformats.org/officeDocument/2006/relationships/hyperlink" Target="https://www.promptfoo.dev/docs/intro/" TargetMode="External" Id="rId201" /><Relationship Type="http://schemas.openxmlformats.org/officeDocument/2006/relationships/hyperlink" Target="https://deepeval.com/docs/getting-started" TargetMode="External" Id="rId202" /><Relationship Type="http://schemas.openxmlformats.org/officeDocument/2006/relationships/hyperlink" Target="https://arxiv.org/abs/1809.00635" TargetMode="External" Id="rId203" /><Relationship Type="http://schemas.openxmlformats.org/officeDocument/2006/relationships/hyperlink" Target="https://bird-bench.github.io/" TargetMode="External" Id="rId204" /><Relationship Type="http://schemas.openxmlformats.org/officeDocument/2006/relationships/hyperlink" Target="https://dspy.ai/" TargetMode="External" Id="rId205" /><Relationship Type="http://schemas.openxmlformats.org/officeDocument/2006/relationships/hyperlink" Target="https://github.com/stanfordnlp/dspy" TargetMode="External" Id="rId206" /><Relationship Type="http://schemas.openxmlformats.org/officeDocument/2006/relationships/hyperlink" Target="https://docs.cursor.com/" TargetMode="External" Id="rId207" /><Relationship Type="http://schemas.openxmlformats.org/officeDocument/2006/relationships/hyperlink" Target="https://docs.cursor.com/context/model-context-protocol" TargetMode="External" Id="rId208" /><Relationship Type="http://schemas.openxmlformats.org/officeDocument/2006/relationships/hyperlink" Target="https://docs.anthropic.com/en/docs/claude-code/overview" TargetMode="External" Id="rId209" /><Relationship Type="http://schemas.openxmlformats.org/officeDocument/2006/relationships/hyperlink" Target="https://docs.anthropic.com/en/docs/claude-code/security" TargetMode="External" Id="rId210" /><Relationship Type="http://schemas.openxmlformats.org/officeDocument/2006/relationships/hyperlink" Target="https://platform.openai.com/docs/codex" TargetMode="External" Id="rId211" /><Relationship Type="http://schemas.openxmlformats.org/officeDocument/2006/relationships/hyperlink" Target="https://platform.openai.com/docs/guides/agents" TargetMode="External" Id="rId212" /><Relationship Type="http://schemas.openxmlformats.org/officeDocument/2006/relationships/hyperlink" Target="https://modelcontextprotocol.io/" TargetMode="External" Id="rId213" /><Relationship Type="http://schemas.openxmlformats.org/officeDocument/2006/relationships/hyperlink" Target="https://spec.modelcontextprotocol.io/" TargetMode="External" Id="rId214" /><Relationship Type="http://schemas.openxmlformats.org/officeDocument/2006/relationships/hyperlink" Target="https://owasp.org/www-project-top-10-for-large-language-model-applications/" TargetMode="External" Id="rId215" /><Relationship Type="http://schemas.openxmlformats.org/officeDocument/2006/relationships/hyperlink" Target="https://www.nist.gov/itl/ai-risk-management-framework" TargetMode="External" Id="rId216" /><Relationship Type="http://schemas.openxmlformats.org/officeDocument/2006/relationships/hyperlink" Target="https://nvlpubs.nist.gov/nistpubs/ai/NIST.AI.100-1.pdf" TargetMode="External" Id="rId217" /><Relationship Type="http://schemas.openxmlformats.org/officeDocument/2006/relationships/hyperlink" Target="https://oecd.ai/en/ai-principles" TargetMode="External" Id="rId218" /><Relationship Type="http://schemas.openxmlformats.org/officeDocument/2006/relationships/hyperlink" Target="https://pair.withgoogle.com/guidebook/" TargetMode="External" Id="rId219" /><Relationship Type="http://schemas.openxmlformats.org/officeDocument/2006/relationships/hyperlink" Target="https://www.microsoft.com/en-us/ai/responsible-ai" TargetMode="External" Id="rId220" /><Relationship Type="http://schemas.openxmlformats.org/officeDocument/2006/relationships/hyperlink" Target="https://platform.openai.com/docs/guides/safety-best-practices" TargetMode="External" Id="rId221" /><Relationship Type="http://schemas.openxmlformats.org/officeDocument/2006/relationships/hyperlink" Target="https://owasp.org/www-project-top-10-for-large-language-model-applications/" TargetMode="External" Id="rId222" /><Relationship Type="http://schemas.openxmlformats.org/officeDocument/2006/relationships/hyperlink" Target="https://eur-lex.europa.eu/eli/reg/2024/1689/oj" TargetMode="External" Id="rId223" /><Relationship Type="http://schemas.openxmlformats.org/officeDocument/2006/relationships/hyperlink" Target="https://docs.github.com/en/copilot" TargetMode="External" Id="rId224" /><Relationship Type="http://schemas.openxmlformats.org/officeDocument/2006/relationships/hyperlink" Target="https://cursor.com/docs" TargetMode="External" Id="rId225" /><Relationship Type="http://schemas.openxmlformats.org/officeDocument/2006/relationships/hyperlink" Target="https://arxiv.org/abs/2308.12950" TargetMode="External" Id="rId226" /><Relationship Type="http://schemas.openxmlformats.org/officeDocument/2006/relationships/hyperlink" Target="https://www.swebench.com/" TargetMode="External" Id="rId227" /><Relationship Type="http://schemas.openxmlformats.org/officeDocument/2006/relationships/hyperlink" Target="https://tree-sitter.github.io/tree-sitter/" TargetMode="External" Id="rId228" /><Relationship Type="http://schemas.openxmlformats.org/officeDocument/2006/relationships/hyperlink" Target="https://www.zendesk.com/service/ai/" TargetMode="External" Id="rId229" /><Relationship Type="http://schemas.openxmlformats.org/officeDocument/2006/relationships/hyperlink" Target="https://www.intercom.com/fin" TargetMode="External" Id="rId230" /><Relationship Type="http://schemas.openxmlformats.org/officeDocument/2006/relationships/hyperlink" Target="https://www.salesforce.com/service/ai/" TargetMode="External" Id="rId231" /><Relationship Type="http://schemas.openxmlformats.org/officeDocument/2006/relationships/hyperlink" Target="https://owasp.org/www-project-top-10-for-large-language-model-applications/" TargetMode="External" Id="rId232" /><Relationship Type="http://schemas.openxmlformats.org/officeDocument/2006/relationships/hyperlink" Target="https://www.axelos.com/certifications/itil-service-management" TargetMode="External" Id="rId233" /><Relationship Type="http://schemas.openxmlformats.org/officeDocument/2006/relationships/hyperlink" Target="https://openai.com/index/introducing-deep-research/" TargetMode="External" Id="rId234" /><Relationship Type="http://schemas.openxmlformats.org/officeDocument/2006/relationships/hyperlink" Target="https://blog.google/products/gemini/google-gemini-deep-research/" TargetMode="External" Id="rId235" /><Relationship Type="http://schemas.openxmlformats.org/officeDocument/2006/relationships/hyperlink" Target="https://arxiv.org/abs/2210.03629" TargetMode="External" Id="rId236" /><Relationship Type="http://schemas.openxmlformats.org/officeDocument/2006/relationships/hyperlink" Target="https://langchain-ai.github.io/langgraph/concepts/persistence/" TargetMode="External" Id="rId237" /><Relationship Type="http://schemas.openxmlformats.org/officeDocument/2006/relationships/hyperlink" Target="https://arxiv.org/abs/2404.05990" TargetMode="External" Id="rId238" /><Relationship Type="http://schemas.openxmlformats.org/officeDocument/2006/relationships/hyperlink" Target="https://docs.perplexity.ai/" TargetMode="External" Id="rId239" /><Relationship Type="http://schemas.openxmlformats.org/officeDocument/2006/relationships/hyperlink" Target="https://learn.microsoft.com/en-us/bing/search-apis/bing-web-search/overview" TargetMode="External" Id="rId240" /><Relationship Type="http://schemas.openxmlformats.org/officeDocument/2006/relationships/hyperlink" Target="https://research.google/blog/dear-google-search-its-time-for-rag/" TargetMode="External" Id="rId241" /><Relationship Type="http://schemas.openxmlformats.org/officeDocument/2006/relationships/hyperlink" Target="https://arxiv.org/abs/1206.2081" TargetMode="External" Id="rId242" /><Relationship Type="http://schemas.openxmlformats.org/officeDocument/2006/relationships/hyperlink" Target="https://owasp.org/www-project-top-10-for-large-language-model-applications/" TargetMode="External" Id="rId243" /><Relationship Type="http://schemas.openxmlformats.org/officeDocument/2006/relationships/hyperlink" Target="https://platform.openai.com/docs/guides/realtime" TargetMode="External" Id="rId244" /><Relationship Type="http://schemas.openxmlformats.org/officeDocument/2006/relationships/hyperlink" Target="https://webrtc.org/getting-started/overview" TargetMode="External" Id="rId245" /><Relationship Type="http://schemas.openxmlformats.org/officeDocument/2006/relationships/hyperlink" Target="https://arxiv.org/abs/2212.04356" TargetMode="External" Id="rId246" /><Relationship Type="http://schemas.openxmlformats.org/officeDocument/2006/relationships/hyperlink" Target="https://arxiv.org/abs/2406.11776" TargetMode="External" Id="rId247" /><Relationship Type="http://schemas.openxmlformats.org/officeDocument/2006/relationships/hyperlink" Target="https://ai.googleblog.com/2018/05/duplex-ai-system-for-natural-conversation.html" TargetMode="External" Id="rId248" /><Relationship Type="http://schemas.openxmlformats.org/officeDocument/2006/relationships/hyperlink" Target="https://developers.openai.com/api/docs/" TargetMode="External" Id="rId249" /><Relationship Type="http://schemas.openxmlformats.org/officeDocument/2006/relationships/hyperlink" Target="https://owasp.org/www-project-top-10-for-large-language-model-applications/" TargetMode="External" Id="rId250" /><Relationship Type="http://schemas.openxmlformats.org/officeDocument/2006/relationships/hyperlink" Target="https://langchain-ai.github.io/langgraph/concepts/high_level/" TargetMode="External" Id="rId251" /><Relationship Type="http://schemas.openxmlformats.org/officeDocument/2006/relationships/hyperlink" Target="https://arxiv.org/abs/2210.03629" TargetMode="External" Id="rId252" /><Relationship Type="http://schemas.openxmlformats.org/officeDocument/2006/relationships/hyperlink" Target="https://arxiv.org/abs/2212.08073" TargetMode="External" Id="rId253" /><Relationship Type="http://schemas.openxmlformats.org/officeDocument/2006/relationships/hyperlink" Target="https://docs.anthropic.com/en/api/messages" TargetMode="External" Id="rId254" /><Relationship Type="http://schemas.openxmlformats.org/officeDocument/2006/relationships/hyperlink" Target="https://docs.anthropic.com/en/docs/build-with-claude/prompt-caching" TargetMode="External" Id="rId255" /><Relationship Type="http://schemas.openxmlformats.org/officeDocument/2006/relationships/hyperlink" Target="https://modelcontextprotocol.io/" TargetMode="External" Id="rId256" /><Relationship Type="http://schemas.openxmlformats.org/officeDocument/2006/relationships/hyperlink" Target="https://owasp.org/www-project-top-10-for-large-language-model-applications/" TargetMode="External" Id="rId257" /><Relationship Type="http://schemas.openxmlformats.org/officeDocument/2006/relationships/hyperlink" Target="https://arxiv.org/abs/2210.03629" TargetMode="External" Id="rId258" /><Relationship Type="http://schemas.openxmlformats.org/officeDocument/2006/relationships/hyperlink" Target="https://docs.cursor.com/" TargetMode="External" Id="rId259" /><Relationship Type="http://schemas.openxmlformats.org/officeDocument/2006/relationships/hyperlink" Target="https://modelcontextprotocol.io/" TargetMode="External" Id="rId260" /><Relationship Type="http://schemas.openxmlformats.org/officeDocument/2006/relationships/hyperlink" Target="https://arxiv.org/abs/2210.03629" TargetMode="External" Id="rId261" /><Relationship Type="http://schemas.openxmlformats.org/officeDocument/2006/relationships/hyperlink" Target="https://arxiv.org/abs/2312.10997" TargetMode="External" Id="rId262" /><Relationship Type="http://schemas.openxmlformats.org/officeDocument/2006/relationships/hyperlink" Target="https://code.visualstudio.com/api" TargetMode="External" Id="rId263" /><Relationship Type="http://schemas.openxmlformats.org/officeDocument/2006/relationships/hyperlink" Target="https://tree-sitter.github.io/tree-sitter/" TargetMode="External" Id="rId264" /><Relationship Type="http://schemas.openxmlformats.org/officeDocument/2006/relationships/hyperlink" Target="https://docs.github.com/en/copilot" TargetMode="External" Id="rId265" /><Relationship Type="http://schemas.openxmlformats.org/officeDocument/2006/relationships/hyperlink" Target="https://arxiv.org/abs/2204.05999" TargetMode="External" Id="rId266" /><Relationship Type="http://schemas.openxmlformats.org/officeDocument/2006/relationships/hyperlink" Target="https://arxiv.org/abs/2308.12950" TargetMode="External" Id="rId267" /><Relationship Type="http://schemas.openxmlformats.org/officeDocument/2006/relationships/hyperlink" Target="https://arxiv.org/abs/2309.06180" TargetMode="External" Id="rId268" /><Relationship Type="http://schemas.openxmlformats.org/officeDocument/2006/relationships/hyperlink" Target="https://platform.openai.com/docs/guides/code-generation" TargetMode="External" Id="rId269" /><Relationship Type="http://schemas.openxmlformats.org/officeDocument/2006/relationships/hyperlink" Target="https://owasp.org/www-project-top-10-for-large-language-model-applications/" TargetMode="External" Id="rId270" /><Relationship Type="http://schemas.openxmlformats.org/officeDocument/2006/relationships/hyperlink" Target="https://docs.temporal.io/" TargetMode="External" Id="rId271" /><Relationship Type="http://schemas.openxmlformats.org/officeDocument/2006/relationships/hyperlink" Target="https://langchain-ai.github.io/langgraph/" TargetMode="External" Id="rId272" /><Relationship Type="http://schemas.openxmlformats.org/officeDocument/2006/relationships/hyperlink" Target="https://modelcontextprotocol.io/" TargetMode="External" Id="rId273" /><Relationship Type="http://schemas.openxmlformats.org/officeDocument/2006/relationships/hyperlink" Target="https://langchain-ai.github.io/langgraph/concepts/persistence/" TargetMode="External" Id="rId274" /><Relationship Type="http://schemas.openxmlformats.org/officeDocument/2006/relationships/hyperlink" Target="https://platform.openai.com/docs/guides/evals" TargetMode="External" Id="rId275" /><Relationship Type="http://schemas.openxmlformats.org/officeDocument/2006/relationships/hyperlink" Target="https://developers.notion.com/" TargetMode="External" Id="rId276" /><Relationship Type="http://schemas.openxmlformats.org/officeDocument/2006/relationships/hyperlink" Target="https://www.notion.com/product/ai" TargetMode="External" Id="rId277" /><Relationship Type="http://schemas.openxmlformats.org/officeDocument/2006/relationships/hyperlink" Target="https://arxiv.org/abs/1608.03960" TargetMode="External" Id="rId278" /><Relationship Type="http://schemas.openxmlformats.org/officeDocument/2006/relationships/hyperlink" Target="https://research.google/pubs/pub48190/" TargetMode="External" Id="rId279" /><Relationship Type="http://schemas.openxmlformats.org/officeDocument/2006/relationships/hyperlink" Target="https://owasp.org/www-project-top-10-for-large-language-model-applications/" TargetMode="External" Id="rId280" /><Relationship Type="http://schemas.openxmlformats.org/officeDocument/2006/relationships/hyperlink" Target="https://docs.perplexity.ai/" TargetMode="External" Id="rId281" /><Relationship Type="http://schemas.openxmlformats.org/officeDocument/2006/relationships/hyperlink" Target="https://arxiv.org/abs/2005.11401" TargetMode="External" Id="rId282" /><Relationship Type="http://schemas.openxmlformats.org/officeDocument/2006/relationships/hyperlink" Target="https://arxiv.org/abs/2310.11511" TargetMode="External" Id="rId283" /><Relationship Type="http://schemas.openxmlformats.org/officeDocument/2006/relationships/hyperlink" Target="https://learn.microsoft.com/en-us/azure/ai-services/agents/how-to/tools/bing-grounding" TargetMode="External" Id="rId284" /><Relationship Type="http://schemas.openxmlformats.org/officeDocument/2006/relationships/hyperlink" Target="https://arxiv.org/abs/2310.03214" TargetMode="External" Id="rId285" /><Relationship Type="http://schemas.openxmlformats.org/officeDocument/2006/relationships/hyperlink" Target="https://owasp.org/www-project-top-10-for-large-language-model-applications/" TargetMode="External" Id="rId286" /><Relationship Type="http://schemas.openxmlformats.org/officeDocument/2006/relationships/hyperlink" Target="https://docs.slack.dev/" TargetMode="External" Id="rId287" /><Relationship Type="http://schemas.openxmlformats.org/officeDocument/2006/relationships/hyperlink" Target="https://slack.com/features/ai" TargetMode="External" Id="rId288" /><Relationship Type="http://schemas.openxmlformats.org/officeDocument/2006/relationships/hyperlink" Target="https://learn.microsoft.com/en-us/graph/permissions-reference" TargetMode="External" Id="rId289" /><Relationship Type="http://schemas.openxmlformats.org/officeDocument/2006/relationships/hyperlink" Target="https://owasp.org/www-project-top-10-for-large-language-model-applications/" TargetMode="External" Id="rId290" /><Relationship Type="http://schemas.openxmlformats.org/officeDocument/2006/relationships/hyperlink" Target="https://learn.microsoft.com/en-us/azure/search/search-security-trimming-for-azure-search" TargetMode="External" Id="rId2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48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15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/workspace/</t>
        </is>
      </c>
    </row>
    <row r="5">
      <c r="A5" t="inlineStr">
        <is>
          <t>GitHub Base</t>
        </is>
      </c>
      <c r="B5" s="4" t="inlineStr">
        <is>
          <t>https://github.com/rcrahul43/GenAI-Masterclass/blob/main/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GenAI From Scratch: Core Ideas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4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Modules/00-Foundations/00-01-GenAI-From-Scratch.md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Python for AI Engineering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0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Modules/00-Foundations/00-02-Python-for-AI-Engineering.md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APIs for AI Engineering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0</v>
      </c>
      <c r="G4" s="11" t="inlineStr">
        <is>
          <t>IC+EM</t>
        </is>
      </c>
      <c r="H4" s="11" t="n">
        <v>8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Modules/00-Foundations/00-03-APIs-for-AI-Engineering.md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00-04</t>
        </is>
      </c>
      <c r="B5" s="11" t="inlineStr">
        <is>
          <t>00-04 — From Rules to Agents: The Evolution of Intelligent Systems</t>
        </is>
      </c>
      <c r="C5" s="11" t="inlineStr">
        <is>
          <t>00 Foundations</t>
        </is>
      </c>
      <c r="D5" s="11" t="inlineStr">
        <is>
          <t>Foundations</t>
        </is>
      </c>
      <c r="E5" s="11" t="n">
        <v>0</v>
      </c>
      <c r="F5" s="11" t="n">
        <v>1</v>
      </c>
      <c r="G5" s="11" t="inlineStr">
        <is>
          <t>IC+EM</t>
        </is>
      </c>
      <c r="H5" s="11" t="n">
        <v>8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Modules/00-Foundations/00-04-From-Rules-to-Agents.md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00-05</t>
        </is>
      </c>
      <c r="B6" s="11" t="inlineStr">
        <is>
          <t>00-05 — Mathematics for AI Engineering</t>
        </is>
      </c>
      <c r="C6" s="11" t="inlineStr">
        <is>
          <t>00 Foundations</t>
        </is>
      </c>
      <c r="D6" s="11" t="inlineStr">
        <is>
          <t>Foundations</t>
        </is>
      </c>
      <c r="E6" s="11" t="n">
        <v>0</v>
      </c>
      <c r="F6" s="11" t="n">
        <v>0</v>
      </c>
      <c r="G6" s="11" t="inlineStr">
        <is>
          <t>IC+EM</t>
        </is>
      </c>
      <c r="H6" s="11" t="n">
        <v>7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Modules/00-Foundations/00-05-Mathematics-for-AI-Engineering.md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00-06</t>
        </is>
      </c>
      <c r="B7" s="11" t="inlineStr">
        <is>
          <t>00-06 — BankCo Warm-Up: Decision-Support Retention Assistant</t>
        </is>
      </c>
      <c r="C7" s="11" t="inlineStr">
        <is>
          <t>00 Foundations</t>
        </is>
      </c>
      <c r="D7" s="11" t="inlineStr">
        <is>
          <t>Foundations</t>
        </is>
      </c>
      <c r="E7" s="11" t="n">
        <v>0</v>
      </c>
      <c r="F7" s="11" t="n">
        <v>1</v>
      </c>
      <c r="G7" s="11" t="inlineStr">
        <is>
          <t>IC+EM</t>
        </is>
      </c>
      <c r="H7" s="11" t="n">
        <v>6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Modules/00-Foundations/00-06-BankCo-Decision-Support-Warmup.md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01-01</t>
        </is>
      </c>
      <c r="B8" s="11" t="inlineStr">
        <is>
          <t>01-01 — Transformer Architecture for AI Engineers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2</v>
      </c>
      <c r="G8" s="11" t="inlineStr">
        <is>
          <t>IC</t>
        </is>
      </c>
      <c r="H8" s="11" t="n">
        <v>6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Modules/01-LLM-Engineering/01-01-Transformer-Architecture.md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01-02</t>
        </is>
      </c>
      <c r="B9" s="11" t="inlineStr">
        <is>
          <t>01-02 — Tokenization, Context Windows &amp; Attention Economics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2</v>
      </c>
      <c r="G9" s="11" t="inlineStr">
        <is>
          <t>IC</t>
        </is>
      </c>
      <c r="H9" s="11" t="n">
        <v>6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Modules/01-LLM-Engineering/01-02-Tokenization-Context-Windows.md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01-03</t>
        </is>
      </c>
      <c r="B10" s="11" t="inlineStr">
        <is>
          <t>01-03 — Inference Serving with vLLM, Ollama &amp; Quantization</t>
        </is>
      </c>
      <c r="C10" s="11" t="inlineStr">
        <is>
          <t>01 LLM Engineering</t>
        </is>
      </c>
      <c r="D10" s="11" t="inlineStr">
        <is>
          <t>LLM Engineering</t>
        </is>
      </c>
      <c r="E10" s="11" t="n">
        <v>1</v>
      </c>
      <c r="F10" s="11" t="n">
        <v>3</v>
      </c>
      <c r="G10" s="11" t="inlineStr">
        <is>
          <t>IC</t>
        </is>
      </c>
      <c r="H10" s="11" t="n">
        <v>6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Modules/01-LLM-Engineering/01-03-Inference-Serving-vLLM.md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01-04</t>
        </is>
      </c>
      <c r="B11" s="11" t="inlineStr">
        <is>
          <t>01-04 — Model Routing with LiteLLM</t>
        </is>
      </c>
      <c r="C11" s="11" t="inlineStr">
        <is>
          <t>01 LLM Engineering</t>
        </is>
      </c>
      <c r="D11" s="11" t="inlineStr">
        <is>
          <t>LLM Engineering</t>
        </is>
      </c>
      <c r="E11" s="11" t="n">
        <v>1</v>
      </c>
      <c r="F11" s="11" t="n">
        <v>3</v>
      </c>
      <c r="G11" s="11" t="inlineStr">
        <is>
          <t>IC</t>
        </is>
      </c>
      <c r="H11" s="11" t="n">
        <v>8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Modules/01-LLM-Engineering/01-04-Model-Routing-LiteLLM.md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01-05</t>
        </is>
      </c>
      <c r="B12" s="11" t="inlineStr">
        <is>
          <t>01-05 — Provider SDKs: OpenAI, Claude, Gemini &amp; DeepSeek</t>
        </is>
      </c>
      <c r="C12" s="11" t="inlineStr">
        <is>
          <t>01 LLM Engineering</t>
        </is>
      </c>
      <c r="D12" s="11" t="inlineStr">
        <is>
          <t>LLM Engineering</t>
        </is>
      </c>
      <c r="E12" s="11" t="n">
        <v>1</v>
      </c>
      <c r="F12" s="11" t="n">
        <v>3</v>
      </c>
      <c r="G12" s="11" t="inlineStr">
        <is>
          <t>IC</t>
        </is>
      </c>
      <c r="H12" s="11" t="n">
        <v>9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Modules/01-LLM-Engineering/01-05-Provider-SDKs-OpenAI-Claude-Gemini.md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02-01</t>
        </is>
      </c>
      <c r="B13" s="11" t="inlineStr">
        <is>
          <t>02-01 — Production Prompt Engineering</t>
        </is>
      </c>
      <c r="C13" s="11" t="inlineStr">
        <is>
          <t>02 Prompt Engineering</t>
        </is>
      </c>
      <c r="D13" s="11" t="inlineStr">
        <is>
          <t>Prompt Engineering</t>
        </is>
      </c>
      <c r="E13" s="11" t="n">
        <v>2</v>
      </c>
      <c r="F13" s="11" t="n">
        <v>4</v>
      </c>
      <c r="G13" s="11" t="inlineStr">
        <is>
          <t>IC+EM</t>
        </is>
      </c>
      <c r="H13" s="11" t="n">
        <v>6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Modules/02-Prompt-Engineering/02-01-Production-Prompt-Engineering.md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02-02</t>
        </is>
      </c>
      <c r="B14" s="11" t="inlineStr">
        <is>
          <t>02-02 — Structured Outputs &amp; Tool Calling</t>
        </is>
      </c>
      <c r="C14" s="11" t="inlineStr">
        <is>
          <t>02 Prompt Engineering</t>
        </is>
      </c>
      <c r="D14" s="11" t="inlineStr">
        <is>
          <t>Prompt Engineering</t>
        </is>
      </c>
      <c r="E14" s="11" t="n">
        <v>2</v>
      </c>
      <c r="F14" s="11" t="n">
        <v>4</v>
      </c>
      <c r="G14" s="11" t="inlineStr">
        <is>
          <t>IC+EM</t>
        </is>
      </c>
      <c r="H14" s="11" t="n">
        <v>7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Modules/02-Prompt-Engineering/02-02-Structured-Outputs-Tool-Calling.md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03-01</t>
        </is>
      </c>
      <c r="B15" s="11" t="inlineStr">
        <is>
          <t>03-01 — Agent Anatomy &amp; the Think→Act→Observe Loop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5</v>
      </c>
      <c r="G15" s="11" t="inlineStr">
        <is>
          <t>IC+EM</t>
        </is>
      </c>
      <c r="H15" s="11" t="n">
        <v>6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Modules/03-Agentic-Fundamentals/03-01-Agent-Anatomy-and-Loop.md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03-02</t>
        </is>
      </c>
      <c r="B16" s="11" t="inlineStr">
        <is>
          <t>03-02 — Tools, Memory &amp; Control Flow</t>
        </is>
      </c>
      <c r="C16" s="11" t="inlineStr">
        <is>
          <t>03 Agentic Fundamentals</t>
        </is>
      </c>
      <c r="D16" s="11" t="inlineStr">
        <is>
          <t>Agentic Fundamentals</t>
        </is>
      </c>
      <c r="E16" s="11" t="n">
        <v>3</v>
      </c>
      <c r="F16" s="11" t="n">
        <v>5</v>
      </c>
      <c r="G16" s="11" t="inlineStr">
        <is>
          <t>IC+EM</t>
        </is>
      </c>
      <c r="H16" s="11" t="n">
        <v>7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Modules/03-Agentic-Fundamentals/03-02-Tools-Memory-Control-Flow.md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03-03</t>
        </is>
      </c>
      <c r="B17" s="11" t="inlineStr">
        <is>
          <t>03-03 — Agentic Design Patterns: Routing, Reflection, ReAct &amp; More</t>
        </is>
      </c>
      <c r="C17" s="11" t="inlineStr">
        <is>
          <t>03 Agentic Fundamentals</t>
        </is>
      </c>
      <c r="D17" s="11" t="inlineStr">
        <is>
          <t>Agentic Fundamentals</t>
        </is>
      </c>
      <c r="E17" s="11" t="n">
        <v>3</v>
      </c>
      <c r="F17" s="11" t="n">
        <v>6</v>
      </c>
      <c r="G17" s="11" t="inlineStr">
        <is>
          <t>IC+EM</t>
        </is>
      </c>
      <c r="H17" s="11" t="n">
        <v>6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Modules/03-Agentic-Fundamentals/03-03-Agentic-Design-Patterns.md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03-04</t>
        </is>
      </c>
      <c r="B18" s="11" t="inlineStr">
        <is>
          <t>03-04 — LangGraph Production Agents: State, Memory, HITL &amp; Deployment</t>
        </is>
      </c>
      <c r="C18" s="11" t="inlineStr">
        <is>
          <t>03 Agentic Fundamentals</t>
        </is>
      </c>
      <c r="D18" s="11" t="inlineStr">
        <is>
          <t>Agentic Fundamentals</t>
        </is>
      </c>
      <c r="E18" s="11" t="n">
        <v>3</v>
      </c>
      <c r="F18" s="11" t="n">
        <v>6</v>
      </c>
      <c r="G18" s="11" t="inlineStr">
        <is>
          <t>IC+EM</t>
        </is>
      </c>
      <c r="H18" s="11" t="n">
        <v>7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Modules/03-Agentic-Fundamentals/03-04-LangGraph-Production-Agents.md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04-01</t>
        </is>
      </c>
      <c r="B19" s="11" t="inlineStr">
        <is>
          <t>04-01 — RAG Architecture: Grounding LLMs with External Knowledge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7</v>
      </c>
      <c r="G19" s="11" t="inlineStr">
        <is>
          <t>IC</t>
        </is>
      </c>
      <c r="H19" s="11" t="n">
        <v>6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Modules/04-RAG/04-01-RAG-Architecture.md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04-02</t>
        </is>
      </c>
      <c r="B20" s="11" t="inlineStr">
        <is>
          <t>04-02 — Chunking, Metadata &amp; Embeddings</t>
        </is>
      </c>
      <c r="C20" s="11" t="inlineStr">
        <is>
          <t>04 RAG</t>
        </is>
      </c>
      <c r="D20" s="11" t="inlineStr">
        <is>
          <t>RAG</t>
        </is>
      </c>
      <c r="E20" s="11" t="n">
        <v>4</v>
      </c>
      <c r="F20" s="11" t="n">
        <v>7</v>
      </c>
      <c r="G20" s="11" t="inlineStr">
        <is>
          <t>IC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Modules/04-RAG/04-02-Chunking-Metadata-Embeddings.md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04-03</t>
        </is>
      </c>
      <c r="B21" s="11" t="inlineStr">
        <is>
          <t>04-03 — Vector DBs, Hybrid Search &amp; Reranking</t>
        </is>
      </c>
      <c r="C21" s="11" t="inlineStr">
        <is>
          <t>04 RAG</t>
        </is>
      </c>
      <c r="D21" s="11" t="inlineStr">
        <is>
          <t>RAG</t>
        </is>
      </c>
      <c r="E21" s="11" t="n">
        <v>4</v>
      </c>
      <c r="F21" s="11" t="n">
        <v>8</v>
      </c>
      <c r="G21" s="11" t="inlineStr">
        <is>
          <t>IC</t>
        </is>
      </c>
      <c r="H21" s="11" t="n">
        <v>6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Modules/04-RAG/04-03-Vector-DB-Hybrid-Search-Reranking.md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04-04</t>
        </is>
      </c>
      <c r="B22" s="11" t="inlineStr">
        <is>
          <t>04-04 — Advanced RAG: HyDE, GraphRAG &amp; Agentic RAG</t>
        </is>
      </c>
      <c r="C22" s="11" t="inlineStr">
        <is>
          <t>04 RAG</t>
        </is>
      </c>
      <c r="D22" s="11" t="inlineStr">
        <is>
          <t>RAG</t>
        </is>
      </c>
      <c r="E22" s="11" t="n">
        <v>4</v>
      </c>
      <c r="F22" s="11" t="n">
        <v>8</v>
      </c>
      <c r="G22" s="11" t="inlineStr">
        <is>
          <t>IC</t>
        </is>
      </c>
      <c r="H22" s="11" t="n">
        <v>7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Modules/04-RAG/04-04-Advanced-RAG-HyDE-GraphRAG.md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05-01</t>
        </is>
      </c>
      <c r="B23" s="11" t="inlineStr">
        <is>
          <t>05-01 — Multi-Agent Orchestration: When One Agent Is Not Enough</t>
        </is>
      </c>
      <c r="C23" s="11" t="inlineStr">
        <is>
          <t>05 Multi-Agent</t>
        </is>
      </c>
      <c r="D23" s="11" t="inlineStr">
        <is>
          <t>Multi Agent</t>
        </is>
      </c>
      <c r="E23" s="11" t="n">
        <v>5</v>
      </c>
      <c r="F23" s="11" t="n">
        <v>9</v>
      </c>
      <c r="G23" s="11" t="inlineStr">
        <is>
          <t>IC+EM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Modules/05-Multi-Agent/05-01-Multi-Agent-Orchestration.md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05-02</t>
        </is>
      </c>
      <c r="B24" s="11" t="inlineStr">
        <is>
          <t>05-02 — Planner–Executor–Critic, Supervisor, DAG &amp; Hybrid Patterns</t>
        </is>
      </c>
      <c r="C24" s="11" t="inlineStr">
        <is>
          <t>05 Multi-Agent</t>
        </is>
      </c>
      <c r="D24" s="11" t="inlineStr">
        <is>
          <t>Multi Agent</t>
        </is>
      </c>
      <c r="E24" s="11" t="n">
        <v>5</v>
      </c>
      <c r="F24" s="11" t="n">
        <v>9</v>
      </c>
      <c r="G24" s="11" t="inlineStr">
        <is>
          <t>IC+EM</t>
        </is>
      </c>
      <c r="H24" s="11" t="n">
        <v>7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Modules/05-Multi-Agent/05-02-Planner-Executor-Critic.md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05-03</t>
        </is>
      </c>
      <c r="B25" s="11" t="inlineStr">
        <is>
          <t>05-03 — Frameworks: CrewAI, AutoGen &amp; LangGraph for Production</t>
        </is>
      </c>
      <c r="C25" s="11" t="inlineStr">
        <is>
          <t>05 Multi-Agent</t>
        </is>
      </c>
      <c r="D25" s="11" t="inlineStr">
        <is>
          <t>Multi Agent</t>
        </is>
      </c>
      <c r="E25" s="11" t="n">
        <v>5</v>
      </c>
      <c r="F25" s="11" t="n">
        <v>9</v>
      </c>
      <c r="G25" s="11" t="inlineStr">
        <is>
          <t>IC+EM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Modules/05-Multi-Agent/05-03-Frameworks-CrewAI-AutoGen-LangGraph.md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06-01</t>
        </is>
      </c>
      <c r="B26" s="11" t="inlineStr">
        <is>
          <t>06-01 — Voice Pipelines: ASR → LLM → TTS</t>
        </is>
      </c>
      <c r="C26" s="11" t="inlineStr">
        <is>
          <t>06 Voice &amp; Multimodal</t>
        </is>
      </c>
      <c r="D26" s="11" t="inlineStr">
        <is>
          <t>Conversational Multimodal</t>
        </is>
      </c>
      <c r="E26" s="11" t="n">
        <v>6</v>
      </c>
      <c r="F26" s="11" t="n">
        <v>10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Modules/06-Conversational-Multimodal/06-01-Voice-ASR-TTS-Pipelines.md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06-02</t>
        </is>
      </c>
      <c r="B27" s="11" t="inlineStr">
        <is>
          <t>06-02 — Multimodal Agents (Vision + Text)</t>
        </is>
      </c>
      <c r="C27" s="11" t="inlineStr">
        <is>
          <t>06 Voice &amp; Multimodal</t>
        </is>
      </c>
      <c r="D27" s="11" t="inlineStr">
        <is>
          <t>Conversational Multimodal</t>
        </is>
      </c>
      <c r="E27" s="11" t="n">
        <v>6</v>
      </c>
      <c r="F27" s="11" t="n">
        <v>10</v>
      </c>
      <c r="G27" s="11" t="inlineStr">
        <is>
          <t>IC</t>
        </is>
      </c>
      <c r="H27" s="11" t="n">
        <v>6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Modules/06-Conversational-Multimodal/06-02-Multimodal-Agents.md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07-01</t>
        </is>
      </c>
      <c r="B28" s="11" t="inlineStr">
        <is>
          <t>07-01 — Model Context Protocol (MCP)</t>
        </is>
      </c>
      <c r="C28" s="11" t="inlineStr">
        <is>
          <t>07 Protocols MCP/A2A</t>
        </is>
      </c>
      <c r="D28" s="11" t="inlineStr">
        <is>
          <t>Protocols MCP A2A</t>
        </is>
      </c>
      <c r="E28" s="11" t="n">
        <v>7</v>
      </c>
      <c r="F28" s="11" t="n">
        <v>11</v>
      </c>
      <c r="G28" s="11" t="inlineStr">
        <is>
          <t>IC</t>
        </is>
      </c>
      <c r="H28" s="11" t="n">
        <v>6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Modules/07-Protocols-MCP-A2A/07-01-MCP-Model-Context-Protocol.md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07-02</t>
        </is>
      </c>
      <c r="B29" s="11" t="inlineStr">
        <is>
          <t>07-02 — Agent-to-Agent (A2A) Protocol</t>
        </is>
      </c>
      <c r="C29" s="11" t="inlineStr">
        <is>
          <t>07 Protocols MCP/A2A</t>
        </is>
      </c>
      <c r="D29" s="11" t="inlineStr">
        <is>
          <t>Protocols MCP A2A</t>
        </is>
      </c>
      <c r="E29" s="11" t="n">
        <v>7</v>
      </c>
      <c r="F29" s="11" t="n">
        <v>11</v>
      </c>
      <c r="G29" s="11" t="inlineStr">
        <is>
          <t>IC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Modules/07-Protocols-MCP-A2A/07-02-A2A-Agent-to-Agent.md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07-03</t>
        </is>
      </c>
      <c r="B30" s="11" t="inlineStr">
        <is>
          <t>07-03 — Negotiation &amp; Async Agent Workflows</t>
        </is>
      </c>
      <c r="C30" s="11" t="inlineStr">
        <is>
          <t>07 Protocols MCP/A2A</t>
        </is>
      </c>
      <c r="D30" s="11" t="inlineStr">
        <is>
          <t>Protocols MCP A2A</t>
        </is>
      </c>
      <c r="E30" s="11" t="n">
        <v>7</v>
      </c>
      <c r="F30" s="11" t="n">
        <v>11</v>
      </c>
      <c r="G30" s="11" t="inlineStr">
        <is>
          <t>IC</t>
        </is>
      </c>
      <c r="H30" s="11" t="n">
        <v>7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Modules/07-Protocols-MCP-A2A/07-03-Negotiation-Async-Workflows.md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07-04</t>
        </is>
      </c>
      <c r="B31" s="11" t="inlineStr">
        <is>
          <t>07-04 — MCP Production Patterns (Depth)</t>
        </is>
      </c>
      <c r="C31" s="11" t="inlineStr">
        <is>
          <t>07 Protocols MCP/A2A</t>
        </is>
      </c>
      <c r="D31" s="11" t="inlineStr">
        <is>
          <t>Protocols MCP A2A</t>
        </is>
      </c>
      <c r="E31" s="11" t="n">
        <v>7</v>
      </c>
      <c r="F31" s="11" t="n">
        <v>11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Modules/07-Protocols-MCP-A2A/07-04-MCP-Production-Patterns.md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08-01</t>
        </is>
      </c>
      <c r="B32" s="11" t="inlineStr">
        <is>
          <t>08-01 — Evaluation Lifecycle (Offline + Online)</t>
        </is>
      </c>
      <c r="C32" s="11" t="inlineStr">
        <is>
          <t>08 Eval &amp; LLMOps</t>
        </is>
      </c>
      <c r="D32" s="11" t="inlineStr">
        <is>
          <t>Evaluation LLMOps</t>
        </is>
      </c>
      <c r="E32" s="11" t="n">
        <v>8</v>
      </c>
      <c r="F32" s="11" t="n">
        <v>12</v>
      </c>
      <c r="G32" s="11" t="inlineStr">
        <is>
          <t>IC+EM</t>
        </is>
      </c>
      <c r="H32" s="11" t="n">
        <v>7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Modules/08-Evaluation-LLMOps/08-01-Evaluation-Lifecycle.md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08-02</t>
        </is>
      </c>
      <c r="B33" s="11" t="inlineStr">
        <is>
          <t>08-02 — Observability: LangSmith &amp; OpenTelemetry</t>
        </is>
      </c>
      <c r="C33" s="11" t="inlineStr">
        <is>
          <t>08 Eval &amp; LLMOps</t>
        </is>
      </c>
      <c r="D33" s="11" t="inlineStr">
        <is>
          <t>Evaluation LLMOps</t>
        </is>
      </c>
      <c r="E33" s="11" t="n">
        <v>8</v>
      </c>
      <c r="F33" s="11" t="n">
        <v>12</v>
      </c>
      <c r="G33" s="11" t="inlineStr">
        <is>
          <t>IC+EM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Modules/08-Evaluation-LLMOps/08-02-Observability-LangSmith-OTel.md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08-03</t>
        </is>
      </c>
      <c r="B34" s="11" t="inlineStr">
        <is>
          <t>08-03 — Guardrails &amp; Ship Criteria</t>
        </is>
      </c>
      <c r="C34" s="11" t="inlineStr">
        <is>
          <t>08 Eval &amp; LLMOps</t>
        </is>
      </c>
      <c r="D34" s="11" t="inlineStr">
        <is>
          <t>Evaluation LLMOps</t>
        </is>
      </c>
      <c r="E34" s="11" t="n">
        <v>8</v>
      </c>
      <c r="F34" s="11" t="n">
        <v>12</v>
      </c>
      <c r="G34" s="11" t="inlineStr">
        <is>
          <t>IC+EM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Modules/08-Evaluation-LLMOps/08-03-Guardrails-Ship-Criteria.md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09-01</t>
        </is>
      </c>
      <c r="B35" s="11" t="inlineStr">
        <is>
          <t>09-01 — PEFT, LoRA &amp; QLoRA: Efficient Fine-Tuning for Production</t>
        </is>
      </c>
      <c r="C35" s="11" t="inlineStr">
        <is>
          <t>09 Fine-Tuning</t>
        </is>
      </c>
      <c r="D35" s="11" t="inlineStr">
        <is>
          <t>Fine Tuning</t>
        </is>
      </c>
      <c r="E35" s="11" t="n">
        <v>9</v>
      </c>
      <c r="F35" s="11" t="n">
        <v>13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Modules/09-Fine-Tuning/09-01-PEFT-LoRA-QLoRA.md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09-02</t>
        </is>
      </c>
      <c r="B36" s="11" t="inlineStr">
        <is>
          <t>09-02 — Prompting vs RAG vs Fine-Tuning: The Decision Framework</t>
        </is>
      </c>
      <c r="C36" s="11" t="inlineStr">
        <is>
          <t>09 Fine-Tuning</t>
        </is>
      </c>
      <c r="D36" s="11" t="inlineStr">
        <is>
          <t>Fine Tuning</t>
        </is>
      </c>
      <c r="E36" s="11" t="n">
        <v>9</v>
      </c>
      <c r="F36" s="11" t="n">
        <v>13</v>
      </c>
      <c r="G36" s="11" t="inlineStr">
        <is>
          <t>IC</t>
        </is>
      </c>
      <c r="H36" s="11" t="n">
        <v>5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Modules/09-Fine-Tuning/09-02-Prompting-vs-RAG-vs-FineTuning.md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09-03</t>
        </is>
      </c>
      <c r="B37" s="11" t="inlineStr">
        <is>
          <t>09-03 — Serving &amp; Integrating Fine-Tuned Models</t>
        </is>
      </c>
      <c r="C37" s="11" t="inlineStr">
        <is>
          <t>09 Fine-Tuning</t>
        </is>
      </c>
      <c r="D37" s="11" t="inlineStr">
        <is>
          <t>Fine Tuning</t>
        </is>
      </c>
      <c r="E37" s="11" t="n">
        <v>9</v>
      </c>
      <c r="F37" s="11" t="n">
        <v>13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Modules/09-Fine-Tuning/09-03-Serving-Integrating-FineTuned-Models.md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10-01</t>
        </is>
      </c>
      <c r="B38" s="11" t="inlineStr">
        <is>
          <t>10-01 — FastAPI AI Backends: Production API Patterns for LLM Apps</t>
        </is>
      </c>
      <c r="C38" s="11" t="inlineStr">
        <is>
          <t>10 Production Infra</t>
        </is>
      </c>
      <c r="D38" s="11" t="inlineStr">
        <is>
          <t>Production Infrastructure</t>
        </is>
      </c>
      <c r="E38" s="11" t="n">
        <v>10</v>
      </c>
      <c r="F38" s="11" t="n">
        <v>14</v>
      </c>
      <c r="G38" s="11" t="inlineStr">
        <is>
          <t>IC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Modules/10-Production-Infrastructure/10-01-FastAPI-AI-Backends.md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10-02</t>
        </is>
      </c>
      <c r="B39" s="11" t="inlineStr">
        <is>
          <t>10-02 — Docker, Kubernetes &amp; CI/CD for AI Services</t>
        </is>
      </c>
      <c r="C39" s="11" t="inlineStr">
        <is>
          <t>10 Production Infra</t>
        </is>
      </c>
      <c r="D39" s="11" t="inlineStr">
        <is>
          <t>Production Infrastructure</t>
        </is>
      </c>
      <c r="E39" s="11" t="n">
        <v>10</v>
      </c>
      <c r="F39" s="11" t="n">
        <v>14</v>
      </c>
      <c r="G39" s="11" t="inlineStr">
        <is>
          <t>IC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Modules/10-Production-Infrastructure/10-02-Docker-Kubernetes-CICD.md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10-03</t>
        </is>
      </c>
      <c r="B40" s="11" t="inlineStr">
        <is>
          <t>10-03 — Redis, Kafka &amp; Ray: Async Infrastructure for AI Platforms</t>
        </is>
      </c>
      <c r="C40" s="11" t="inlineStr">
        <is>
          <t>10 Production Infra</t>
        </is>
      </c>
      <c r="D40" s="11" t="inlineStr">
        <is>
          <t>Production Infrastructure</t>
        </is>
      </c>
      <c r="E40" s="11" t="n">
        <v>10</v>
      </c>
      <c r="F40" s="11" t="n">
        <v>14</v>
      </c>
      <c r="G40" s="11" t="inlineStr">
        <is>
          <t>IC</t>
        </is>
      </c>
      <c r="H40" s="11" t="n">
        <v>6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Modules/10-Production-Infrastructure/10-03-Redis-Kafka-Ray.md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10-04</t>
        </is>
      </c>
      <c r="B41" s="11" t="inlineStr">
        <is>
          <t>10-04 — Cost &amp; Latency Optimization for LLM Systems</t>
        </is>
      </c>
      <c r="C41" s="11" t="inlineStr">
        <is>
          <t>10 Production Infra</t>
        </is>
      </c>
      <c r="D41" s="11" t="inlineStr">
        <is>
          <t>Production Infrastructure</t>
        </is>
      </c>
      <c r="E41" s="11" t="n">
        <v>10</v>
      </c>
      <c r="F41" s="11" t="n">
        <v>14</v>
      </c>
      <c r="G41" s="11" t="inlineStr">
        <is>
          <t>IC</t>
        </is>
      </c>
      <c r="H41" s="11" t="n">
        <v>6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Modules/10-Production-Infrastructure/10-04-Cost-Latency-Optimization.md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11-01</t>
        </is>
      </c>
      <c r="B42" s="11" t="inlineStr">
        <is>
          <t>11-01 — OWASP LLM Top 10: Threat Model for Production AI</t>
        </is>
      </c>
      <c r="C42" s="11" t="inlineStr">
        <is>
          <t>11 Security &amp; Safety</t>
        </is>
      </c>
      <c r="D42" s="11" t="inlineStr">
        <is>
          <t>Security Safety</t>
        </is>
      </c>
      <c r="E42" s="11" t="n">
        <v>11</v>
      </c>
      <c r="F42" s="11" t="n">
        <v>15</v>
      </c>
      <c r="G42" s="11" t="inlineStr">
        <is>
          <t>IC+EM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Modules/11-Security-Safety/11-01-OWASP-LLM-Top-10.md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11-02</t>
        </is>
      </c>
      <c r="B43" s="11" t="inlineStr">
        <is>
          <t>11-02 — Prompt Injection Defense: Direct, Indirect, and Production Controls</t>
        </is>
      </c>
      <c r="C43" s="11" t="inlineStr">
        <is>
          <t>11 Security &amp; Safety</t>
        </is>
      </c>
      <c r="D43" s="11" t="inlineStr">
        <is>
          <t>Security Safety</t>
        </is>
      </c>
      <c r="E43" s="11" t="n">
        <v>11</v>
      </c>
      <c r="F43" s="11" t="n">
        <v>15</v>
      </c>
      <c r="G43" s="11" t="inlineStr">
        <is>
          <t>IC+EM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Modules/11-Security-Safety/11-02-Prompt-Injection-Defense.md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  <row r="44">
      <c r="A44" s="11" t="inlineStr">
        <is>
          <t>12-01</t>
        </is>
      </c>
      <c r="B44" s="11" t="inlineStr">
        <is>
          <t>12-01 — Agentic Research Systems: Plan, Tools, Guardrails, Memory, Evals</t>
        </is>
      </c>
      <c r="C44" s="11" t="inlineStr">
        <is>
          <t>12 Advanced Topics</t>
        </is>
      </c>
      <c r="D44" s="11" t="inlineStr">
        <is>
          <t>Advanced Topics</t>
        </is>
      </c>
      <c r="E44" s="11" t="n">
        <v>12</v>
      </c>
      <c r="F44" s="11" t="n">
        <v>15</v>
      </c>
      <c r="G44" s="11" t="inlineStr">
        <is>
          <t>IC</t>
        </is>
      </c>
      <c r="H44" s="11" t="n">
        <v>8</v>
      </c>
      <c r="I44" s="11" t="inlineStr">
        <is>
          <t>Not started</t>
        </is>
      </c>
      <c r="J44" s="11" t="inlineStr"/>
      <c r="K44" s="11" t="inlineStr">
        <is>
          <t>No</t>
        </is>
      </c>
      <c r="L44" s="11" t="inlineStr">
        <is>
          <t>No</t>
        </is>
      </c>
      <c r="M44" s="11" t="inlineStr">
        <is>
          <t>No</t>
        </is>
      </c>
      <c r="N44" s="11" t="inlineStr"/>
      <c r="O44" s="11" t="inlineStr">
        <is>
          <t>Modules/12-Advanced-Topics/12-01-Research-Agents.md</t>
        </is>
      </c>
      <c r="P44" s="12">
        <f>IF(O44="","",IF(Config!$B$6="GitHub",HYPERLINK(Config!$B$5&amp;O44,"Open doc"),HYPERLINK("file://"&amp;Config!$B$4&amp;O44,"Open doc")))</f>
        <v/>
      </c>
      <c r="Q44" s="11" t="inlineStr"/>
      <c r="R44" s="11">
        <f>COUNTIFS(Resources!A:A,"Module",Resources!B:B,A44)</f>
        <v/>
      </c>
    </row>
    <row r="45">
      <c r="A45" s="11" t="inlineStr">
        <is>
          <t>12-02</t>
        </is>
      </c>
      <c r="B45" s="11" t="inlineStr">
        <is>
          <t>12-02 — Text-to-SQL Agents: Schema Retrieval, Safety, Spider-Style Evals</t>
        </is>
      </c>
      <c r="C45" s="11" t="inlineStr">
        <is>
          <t>12 Advanced Topics</t>
        </is>
      </c>
      <c r="D45" s="11" t="inlineStr">
        <is>
          <t>Advanced Topics</t>
        </is>
      </c>
      <c r="E45" s="11" t="n">
        <v>12</v>
      </c>
      <c r="F45" s="11" t="n">
        <v>15</v>
      </c>
      <c r="G45" s="11" t="inlineStr">
        <is>
          <t>IC</t>
        </is>
      </c>
      <c r="H45" s="11" t="n">
        <v>7</v>
      </c>
      <c r="I45" s="11" t="inlineStr">
        <is>
          <t>Not started</t>
        </is>
      </c>
      <c r="J45" s="11" t="inlineStr"/>
      <c r="K45" s="11" t="inlineStr">
        <is>
          <t>No</t>
        </is>
      </c>
      <c r="L45" s="11" t="inlineStr">
        <is>
          <t>No</t>
        </is>
      </c>
      <c r="M45" s="11" t="inlineStr">
        <is>
          <t>No</t>
        </is>
      </c>
      <c r="N45" s="11" t="inlineStr"/>
      <c r="O45" s="11" t="inlineStr">
        <is>
          <t>Modules/12-Advanced-Topics/12-02-Text-to-SQL-Agents.md</t>
        </is>
      </c>
      <c r="P45" s="12">
        <f>IF(O45="","",IF(Config!$B$6="GitHub",HYPERLINK(Config!$B$5&amp;O45,"Open doc"),HYPERLINK("file://"&amp;Config!$B$4&amp;O45,"Open doc")))</f>
        <v/>
      </c>
      <c r="Q45" s="11" t="inlineStr"/>
      <c r="R45" s="11">
        <f>COUNTIFS(Resources!A:A,"Module",Resources!B:B,A45)</f>
        <v/>
      </c>
    </row>
    <row r="46">
      <c r="A46" s="11" t="inlineStr">
        <is>
          <t>12-03</t>
        </is>
      </c>
      <c r="B46" s="11" t="inlineStr">
        <is>
          <t>12-03 — Self-Improving Agents: Generate, Test, Refine in Sandboxes</t>
        </is>
      </c>
      <c r="C46" s="11" t="inlineStr">
        <is>
          <t>12 Advanced Topics</t>
        </is>
      </c>
      <c r="D46" s="11" t="inlineStr">
        <is>
          <t>Advanced Topics</t>
        </is>
      </c>
      <c r="E46" s="11" t="n">
        <v>12</v>
      </c>
      <c r="F46" s="11" t="n">
        <v>16</v>
      </c>
      <c r="G46" s="11" t="inlineStr">
        <is>
          <t>IC</t>
        </is>
      </c>
      <c r="H46" s="11" t="n">
        <v>6</v>
      </c>
      <c r="I46" s="11" t="inlineStr">
        <is>
          <t>Not started</t>
        </is>
      </c>
      <c r="J46" s="11" t="inlineStr"/>
      <c r="K46" s="11" t="inlineStr">
        <is>
          <t>No</t>
        </is>
      </c>
      <c r="L46" s="11" t="inlineStr">
        <is>
          <t>No</t>
        </is>
      </c>
      <c r="M46" s="11" t="inlineStr">
        <is>
          <t>No</t>
        </is>
      </c>
      <c r="N46" s="11" t="inlineStr"/>
      <c r="O46" s="11" t="inlineStr">
        <is>
          <t>Modules/12-Advanced-Topics/12-03-Self-Improving-Agents.md</t>
        </is>
      </c>
      <c r="P46" s="12">
        <f>IF(O46="","",IF(Config!$B$6="GitHub",HYPERLINK(Config!$B$5&amp;O46,"Open doc"),HYPERLINK("file://"&amp;Config!$B$4&amp;O46,"Open doc")))</f>
        <v/>
      </c>
      <c r="Q46" s="11" t="inlineStr"/>
      <c r="R46" s="11">
        <f>COUNTIFS(Resources!A:A,"Module",Resources!B:B,A46)</f>
        <v/>
      </c>
    </row>
    <row r="47">
      <c r="A47" s="11" t="inlineStr">
        <is>
          <t>12-04</t>
        </is>
      </c>
      <c r="B47" s="11" t="inlineStr">
        <is>
          <t>12-04 — DSPy: Programmatic Prompting &amp; Optimization</t>
        </is>
      </c>
      <c r="C47" s="11" t="inlineStr">
        <is>
          <t>12 Advanced Topics</t>
        </is>
      </c>
      <c r="D47" s="11" t="inlineStr">
        <is>
          <t>Advanced Topics</t>
        </is>
      </c>
      <c r="E47" s="11" t="n">
        <v>12</v>
      </c>
      <c r="F47" s="11" t="n">
        <v>16</v>
      </c>
      <c r="G47" s="11" t="inlineStr">
        <is>
          <t>IC</t>
        </is>
      </c>
      <c r="H47" s="11" t="n">
        <v>7</v>
      </c>
      <c r="I47" s="11" t="inlineStr">
        <is>
          <t>Not started</t>
        </is>
      </c>
      <c r="J47" s="11" t="inlineStr"/>
      <c r="K47" s="11" t="inlineStr">
        <is>
          <t>No</t>
        </is>
      </c>
      <c r="L47" s="11" t="inlineStr">
        <is>
          <t>No</t>
        </is>
      </c>
      <c r="M47" s="11" t="inlineStr">
        <is>
          <t>No</t>
        </is>
      </c>
      <c r="N47" s="11" t="inlineStr"/>
      <c r="O47" s="11" t="inlineStr">
        <is>
          <t>Modules/12-Advanced-Topics/12-04-DSPy-Programmatic-Prompting.md</t>
        </is>
      </c>
      <c r="P47" s="12">
        <f>IF(O47="","",IF(Config!$B$6="GitHub",HYPERLINK(Config!$B$5&amp;O47,"Open doc"),HYPERLINK("file://"&amp;Config!$B$4&amp;O47,"Open doc")))</f>
        <v/>
      </c>
      <c r="Q47" s="11" t="inlineStr"/>
      <c r="R47" s="11">
        <f>COUNTIFS(Resources!A:A,"Module",Resources!B:B,A47)</f>
        <v/>
      </c>
    </row>
    <row r="48">
      <c r="A48" s="11" t="inlineStr">
        <is>
          <t>12-05</t>
        </is>
      </c>
      <c r="B48" s="11" t="inlineStr">
        <is>
          <t>12-05 — AI Coding Agents (Codex, Claude Code, Cursor)</t>
        </is>
      </c>
      <c r="C48" s="11" t="inlineStr">
        <is>
          <t>12 Advanced Topics</t>
        </is>
      </c>
      <c r="D48" s="11" t="inlineStr">
        <is>
          <t>Advanced Topics</t>
        </is>
      </c>
      <c r="E48" s="11" t="n">
        <v>12</v>
      </c>
      <c r="F48" s="11" t="n">
        <v>16</v>
      </c>
      <c r="G48" s="11" t="inlineStr">
        <is>
          <t>IC</t>
        </is>
      </c>
      <c r="H48" s="11" t="n">
        <v>7</v>
      </c>
      <c r="I48" s="11" t="inlineStr">
        <is>
          <t>Not started</t>
        </is>
      </c>
      <c r="J48" s="11" t="inlineStr"/>
      <c r="K48" s="11" t="inlineStr">
        <is>
          <t>No</t>
        </is>
      </c>
      <c r="L48" s="11" t="inlineStr">
        <is>
          <t>No</t>
        </is>
      </c>
      <c r="M48" s="11" t="inlineStr">
        <is>
          <t>No</t>
        </is>
      </c>
      <c r="N48" s="11" t="inlineStr"/>
      <c r="O48" s="11" t="inlineStr">
        <is>
          <t>Modules/12-Advanced-Topics/12-05-AI-Coding-Agents.md</t>
        </is>
      </c>
      <c r="P48" s="12">
        <f>IF(O48="","",IF(Config!$B$6="GitHub",HYPERLINK(Config!$B$5&amp;O48,"Open doc"),HYPERLINK("file://"&amp;Config!$B$4&amp;O48,"Open doc")))</f>
        <v/>
      </c>
      <c r="Q48" s="11" t="inlineStr"/>
      <c r="R48" s="11">
        <f>COUNTIFS(Resources!A:A,"Module",Resources!B:B,A48)</f>
        <v/>
      </c>
    </row>
    <row r="49">
      <c r="A49" s="11" t="inlineStr">
        <is>
          <t>12-06</t>
        </is>
      </c>
      <c r="B49" s="11" t="inlineStr">
        <is>
          <t>12-06 — AI Product Thinking</t>
        </is>
      </c>
      <c r="C49" s="11" t="inlineStr">
        <is>
          <t>12 Advanced Topics</t>
        </is>
      </c>
      <c r="D49" s="11" t="inlineStr">
        <is>
          <t>Advanced Topics</t>
        </is>
      </c>
      <c r="E49" s="11" t="n">
        <v>12</v>
      </c>
      <c r="F49" s="11" t="n">
        <v>16</v>
      </c>
      <c r="G49" s="11" t="inlineStr">
        <is>
          <t>IC</t>
        </is>
      </c>
      <c r="H49" s="11" t="n">
        <v>6</v>
      </c>
      <c r="I49" s="11" t="inlineStr">
        <is>
          <t>Not started</t>
        </is>
      </c>
      <c r="J49" s="11" t="inlineStr"/>
      <c r="K49" s="11" t="inlineStr">
        <is>
          <t>No</t>
        </is>
      </c>
      <c r="L49" s="11" t="inlineStr">
        <is>
          <t>No</t>
        </is>
      </c>
      <c r="M49" s="11" t="inlineStr">
        <is>
          <t>No</t>
        </is>
      </c>
      <c r="N49" s="11" t="inlineStr"/>
      <c r="O49" s="11" t="inlineStr">
        <is>
          <t>Modules/12-Advanced-Topics/12-06-AI-Product-Thinking.md</t>
        </is>
      </c>
      <c r="P49" s="12">
        <f>IF(O49="","",IF(Config!$B$6="GitHub",HYPERLINK(Config!$B$5&amp;O49,"Open doc"),HYPERLINK("file://"&amp;Config!$B$4&amp;O49,"Open doc")))</f>
        <v/>
      </c>
      <c r="Q49" s="11" t="inlineStr"/>
      <c r="R49" s="11">
        <f>COUNTIFS(Resources!A:A,"Module",Resources!B:B,A49)</f>
        <v/>
      </c>
    </row>
  </sheetData>
  <autoFilter ref="A1:R49"/>
  <conditionalFormatting sqref="I2:I49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9" showDropDown="0" showInputMessage="0" showErrorMessage="0" allowBlank="1" type="list">
      <formula1>"Not started,In progress,Done,Interview-ready"</formula1>
    </dataValidation>
    <dataValidation sqref="K2:K49" showDropDown="0" showInputMessage="0" showErrorMessage="0" allowBlank="1" type="list">
      <formula1>"Yes,No"</formula1>
    </dataValidation>
    <dataValidation sqref="L2:L49" showDropDown="0" showInputMessage="0" showErrorMessage="0" allowBlank="1" type="list">
      <formula1>"Yes,No"</formula1>
    </dataValidation>
    <dataValidation sqref="M2:M4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OpenAI — Text generation / chat concepts</t>
        </is>
      </c>
      <c r="F2" s="12" t="inlineStr">
        <is>
          <t>https://platform.openai.com/docs/guides/text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20–30 min</t>
        </is>
      </c>
      <c r="K2" s="11" t="inlineStr">
        <is>
          <t>Solidify messages, models, tokens</t>
        </is>
      </c>
      <c r="L2" s="11" t="inlineStr">
        <is>
          <t>Messages; models; token basics</t>
        </is>
      </c>
      <c r="M2" s="11" t="inlineStr">
        <is>
          <t>Modules/00-Foundations/00-01-GenAI-From-Scratch.md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Anthropic — Claude overview</t>
        </is>
      </c>
      <c r="F3" s="12" t="inlineStr">
        <is>
          <t>https://docs.anthropic.com/en/docs/welcome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20 min</t>
        </is>
      </c>
      <c r="K3" s="11" t="inlineStr">
        <is>
          <t>Second provider vocabulary</t>
        </is>
      </c>
      <c r="L3" s="11" t="inlineStr">
        <is>
          <t>Messages API mental model</t>
        </is>
      </c>
      <c r="M3" s="11" t="inlineStr">
        <is>
          <t>Modules/00-Foundations/00-01-GenAI-From-Scratch.md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Google — Gemini API quickstart</t>
        </is>
      </c>
      <c r="F4" s="12" t="inlineStr">
        <is>
          <t>https://ai.google.dev/gemini-api/docs/quickstart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20 min</t>
        </is>
      </c>
      <c r="K4" s="11" t="inlineStr">
        <is>
          <t>Multi-provider habit early</t>
        </is>
      </c>
      <c r="L4" s="11" t="inlineStr">
        <is>
          <t>First request</t>
        </is>
      </c>
      <c r="M4" s="11" t="inlineStr">
        <is>
          <t>Modules/00-Foundations/00-01-GenAI-From-Scratch.md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DeepSeek API docs</t>
        </is>
      </c>
      <c r="F5" s="12" t="inlineStr">
        <is>
          <t>https://api-docs.deepseek.com/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15 min</t>
        </is>
      </c>
      <c r="K5" s="11" t="inlineStr">
        <is>
          <t>Cost-efficient OpenAI-compatible option</t>
        </is>
      </c>
      <c r="L5" s="11" t="inlineStr">
        <is>
          <t>First chat call</t>
        </is>
      </c>
      <c r="M5" s="11" t="inlineStr">
        <is>
          <t>Modules/00-Foundations/00-01-GenAI-From-Scratch.md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OpenAI Prompt Engineering Guide</t>
        </is>
      </c>
      <c r="F6" s="12" t="inlineStr">
        <is>
          <t>https://developers.openai.com/api/docs/guides/prompt-engineering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Intro</t>
        </is>
      </c>
      <c r="J6" s="11" t="inlineStr">
        <is>
          <t>45 min</t>
        </is>
      </c>
      <c r="K6" s="11" t="inlineStr">
        <is>
          <t>Prompts as clear instructions</t>
        </is>
      </c>
      <c r="L6" s="11" t="inlineStr">
        <is>
          <t>Tactics; iteration</t>
        </is>
      </c>
      <c r="M6" s="11" t="inlineStr">
        <is>
          <t>Modules/00-Foundations/00-01-GenAI-From-Scratch.md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Chip Huyen — *AI Engineering* (book)</t>
        </is>
      </c>
      <c r="F7" s="12" t="inlineStr">
        <is>
          <t>https://www.oreilly.com/library/view/ai-engineering/9781098166298/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ongoing</t>
        </is>
      </c>
      <c r="K7" s="11" t="inlineStr">
        <is>
          <t>Bridge from ideas to production later</t>
        </is>
      </c>
      <c r="L7" s="11" t="inlineStr">
        <is>
          <t>Early chapters on AI eng vs ML eng</t>
        </is>
      </c>
      <c r="M7" s="11" t="inlineStr">
        <is>
          <t>Modules/00-Foundations/00-01-GenAI-From-Scratch.md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Karpathy — Intro to LLMs (talk)</t>
        </is>
      </c>
      <c r="F8" s="12" t="inlineStr">
        <is>
          <t>https://www.youtube.com/watch?v=zjkBMFhNj_g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Intro</t>
        </is>
      </c>
      <c r="J8" s="11" t="inlineStr">
        <is>
          <t>60 min</t>
        </is>
      </c>
      <c r="K8" s="11" t="inlineStr">
        <is>
          <t>Intuition without heavy math</t>
        </is>
      </c>
      <c r="L8" s="11" t="inlineStr">
        <is>
          <t>Whole talk once</t>
        </is>
      </c>
      <c r="M8" s="11" t="inlineStr">
        <is>
          <t>Modules/00-Foundations/00-01-GenAI-From-Scratch.md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00-04</t>
        </is>
      </c>
      <c r="C9" s="11" t="inlineStr">
        <is>
          <t>00-Foundations</t>
        </is>
      </c>
      <c r="D9" s="11" t="n">
        <v>1</v>
      </c>
      <c r="E9" s="11" t="inlineStr">
        <is>
          <t>Attention Is All You Need (Transformers)</t>
        </is>
      </c>
      <c r="F9" s="12" t="inlineStr">
        <is>
          <t>https://arxiv.org/abs/1706.03762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>
        <is>
          <t>Advanced</t>
        </is>
      </c>
      <c r="J9" s="11" t="inlineStr">
        <is>
          <t>60–90 min</t>
        </is>
      </c>
      <c r="K9" s="11" t="inlineStr">
        <is>
          <t>Foundational architecture behind all modern LLMs; shared vocabulary for encoder/decoder and attention</t>
        </is>
      </c>
      <c r="L9" s="11" t="inlineStr">
        <is>
          <t>§3 Model Architecture; §3.2 Attention; Figure 1</t>
        </is>
      </c>
      <c r="M9" s="11" t="inlineStr">
        <is>
          <t>Modules/00-Foundations/00-04-From-Rules-to-Agents.md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00-04</t>
        </is>
      </c>
      <c r="C10" s="11" t="inlineStr">
        <is>
          <t>00-Foundations</t>
        </is>
      </c>
      <c r="D10" s="11" t="n">
        <v>2</v>
      </c>
      <c r="E10" s="11" t="inlineStr">
        <is>
          <t>ReAct: Synergizing Reasoning and Acting in Language Models</t>
        </is>
      </c>
      <c r="F10" s="12" t="inlineStr">
        <is>
          <t>https://arxiv.org/abs/2210.03629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>
        <is>
          <t>Intermediate</t>
        </is>
      </c>
      <c r="J10" s="11" t="inlineStr">
        <is>
          <t>45–60 min</t>
        </is>
      </c>
      <c r="K10" s="11" t="inlineStr">
        <is>
          <t>Research basis for Think → Act → Observe agent loops</t>
        </is>
      </c>
      <c r="L10" s="11" t="inlineStr">
        <is>
          <t>§1 Introduction; §3 ReAct Prompting; Figures 1–3</t>
        </is>
      </c>
      <c r="M10" s="11" t="inlineStr">
        <is>
          <t>Modules/00-Foundations/00-04-From-Rules-to-Agents.md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00-04</t>
        </is>
      </c>
      <c r="C11" s="11" t="inlineStr">
        <is>
          <t>00-Foundations</t>
        </is>
      </c>
      <c r="D11" s="11" t="n">
        <v>3</v>
      </c>
      <c r="E11" s="11" t="inlineStr">
        <is>
          <t>OpenAI Prompt Engineering Guide</t>
        </is>
      </c>
      <c r="F11" s="12" t="inlineStr">
        <is>
          <t>https://developers.openai.com/api/docs/guides/prompt-engineering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>
        <is>
          <t>Intro–Intermediate</t>
        </is>
      </c>
      <c r="J11" s="11" t="inlineStr">
        <is>
          <t>45 min</t>
        </is>
      </c>
      <c r="K11" s="11" t="inlineStr">
        <is>
          <t>Official tactics for reliable prompts as API contracts</t>
        </is>
      </c>
      <c r="L11" s="11" t="inlineStr">
        <is>
          <t>Message roles; clear instructions; iterative development</t>
        </is>
      </c>
      <c r="M11" s="11" t="inlineStr">
        <is>
          <t>Modules/00-Foundations/00-04-From-Rules-to-Agents.md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00-04</t>
        </is>
      </c>
      <c r="C12" s="11" t="inlineStr">
        <is>
          <t>00-Foundations</t>
        </is>
      </c>
      <c r="D12" s="11" t="n">
        <v>4</v>
      </c>
      <c r="E12" s="11" t="inlineStr">
        <is>
          <t>LangGraph High-Level Concepts</t>
        </is>
      </c>
      <c r="F12" s="12" t="inlineStr">
        <is>
          <t>https://langchain-ai.github.io/langgraph/concepts/high_level/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>
        <is>
          <t>Intermediate</t>
        </is>
      </c>
      <c r="J12" s="11" t="inlineStr">
        <is>
          <t>25–35 min</t>
        </is>
      </c>
      <c r="K12" s="11" t="inlineStr">
        <is>
          <t>Production agent runtime: persistence, HITL, state graphs</t>
        </is>
      </c>
      <c r="L12" s="11" t="inlineStr">
        <is>
          <t>Core benefits; persistence/checkpointing; when to use LangGraph</t>
        </is>
      </c>
      <c r="M12" s="11" t="inlineStr">
        <is>
          <t>Modules/00-Foundations/00-04-From-Rules-to-Agents.md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00-04</t>
        </is>
      </c>
      <c r="C13" s="11" t="inlineStr">
        <is>
          <t>00-Foundations</t>
        </is>
      </c>
      <c r="D13" s="11" t="n">
        <v>5</v>
      </c>
      <c r="E13" s="11" t="inlineStr">
        <is>
          <t>Build with Claude (Anthropic Platform Overview)</t>
        </is>
      </c>
      <c r="F13" s="12" t="inlineStr">
        <is>
          <t>https://platform.claude.com/docs/en/docs/build-with-claude/overview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>
        <is>
          <t>Intro–Intermediate</t>
        </is>
      </c>
      <c r="J13" s="11" t="inlineStr">
        <is>
          <t>30–45 min</t>
        </is>
      </c>
      <c r="K13" s="11" t="inlineStr">
        <is>
          <t>Provider comparison mindset; tool use and production constraints from a second major API</t>
        </is>
      </c>
      <c r="L13" s="11" t="inlineStr">
        <is>
          <t>Overview; tool use; messages API patterns</t>
        </is>
      </c>
      <c r="M13" s="11" t="inlineStr">
        <is>
          <t>Modules/00-Foundations/00-04-From-Rules-to-Agents.md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00-06</t>
        </is>
      </c>
      <c r="C14" s="11" t="inlineStr">
        <is>
          <t>00-Foundations</t>
        </is>
      </c>
      <c r="D14" s="11" t="n">
        <v>1</v>
      </c>
      <c r="E14" s="11" t="inlineStr">
        <is>
          <t>FastAPI Documentation</t>
        </is>
      </c>
      <c r="F14" s="12" t="inlineStr">
        <is>
          <t>https://fastapi.tiangolo.com/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>
        <is>
          <t>Intro</t>
        </is>
      </c>
      <c r="J14" s="11" t="inlineStr">
        <is>
          <t>45 min</t>
        </is>
      </c>
      <c r="K14" s="11" t="inlineStr">
        <is>
          <t>API layer for decision support</t>
        </is>
      </c>
      <c r="L14" s="11" t="inlineStr">
        <is>
          <t>Tutorial; dependency injection; file uploads</t>
        </is>
      </c>
      <c r="M14" s="11" t="inlineStr">
        <is>
          <t>Modules/00-Foundations/00-06-BankCo-Decision-Support-Warmup.md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00-06</t>
        </is>
      </c>
      <c r="C15" s="11" t="inlineStr">
        <is>
          <t>00-Foundations</t>
        </is>
      </c>
      <c r="D15" s="11" t="n">
        <v>2</v>
      </c>
      <c r="E15" s="11" t="inlineStr">
        <is>
          <t>Pydantic Documentation</t>
        </is>
      </c>
      <c r="F15" s="12" t="inlineStr">
        <is>
          <t>https://docs.pydantic.dev/latest/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>
        <is>
          <t>Intro</t>
        </is>
      </c>
      <c r="J15" s="11" t="inlineStr">
        <is>
          <t>45 min</t>
        </is>
      </c>
      <c r="K15" s="11" t="inlineStr">
        <is>
          <t>Spreadsheet row validation</t>
        </is>
      </c>
      <c r="L15" s="11" t="inlineStr">
        <is>
          <t>Models; validators; JSON schema</t>
        </is>
      </c>
      <c r="M15" s="11" t="inlineStr">
        <is>
          <t>Modules/00-Foundations/00-06-BankCo-Decision-Support-Warmup.md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00-06</t>
        </is>
      </c>
      <c r="C16" s="11" t="inlineStr">
        <is>
          <t>00-Foundations</t>
        </is>
      </c>
      <c r="D16" s="11" t="n">
        <v>3</v>
      </c>
      <c r="E16" s="11" t="inlineStr">
        <is>
          <t>OpenAI API Documentation</t>
        </is>
      </c>
      <c r="F16" s="12" t="inlineStr">
        <is>
          <t>https://developers.openai.com/api/docs/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>
        <is>
          <t>Intro</t>
        </is>
      </c>
      <c r="J16" s="11" t="inlineStr">
        <is>
          <t>60 min</t>
        </is>
      </c>
      <c r="K16" s="11" t="inlineStr">
        <is>
          <t>Draft edge integration</t>
        </is>
      </c>
      <c r="L16" s="11" t="inlineStr">
        <is>
          <t>Responses API; prompt best practices</t>
        </is>
      </c>
      <c r="M16" s="11" t="inlineStr">
        <is>
          <t>Modules/00-Foundations/00-06-BankCo-Decision-Support-Warmup.md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00-06</t>
        </is>
      </c>
      <c r="C17" s="11" t="inlineStr">
        <is>
          <t>00-Foundations</t>
        </is>
      </c>
      <c r="D17" s="11" t="n">
        <v>4</v>
      </c>
      <c r="E17" s="11" t="inlineStr">
        <is>
          <t>OpenAI Prompt Engineering</t>
        </is>
      </c>
      <c r="F17" s="12" t="inlineStr">
        <is>
          <t>https://developers.openai.com/api/docs/guides/prompt-engineering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>
        <is>
          <t>Intro</t>
        </is>
      </c>
      <c r="J17" s="11" t="inlineStr">
        <is>
          <t>45 min</t>
        </is>
      </c>
      <c r="K17" s="11" t="inlineStr">
        <is>
          <t>Constrain drafts to offer language</t>
        </is>
      </c>
      <c r="L17" s="11" t="inlineStr">
        <is>
          <t>Clear instructions; evaluation</t>
        </is>
      </c>
      <c r="M17" s="11" t="inlineStr">
        <is>
          <t>Modules/00-Foundations/00-06-BankCo-Decision-Support-Warmup.md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00-06</t>
        </is>
      </c>
      <c r="C18" s="11" t="inlineStr">
        <is>
          <t>00-Foundations</t>
        </is>
      </c>
      <c r="D18" s="11" t="n">
        <v>5</v>
      </c>
      <c r="E18" s="11" t="inlineStr">
        <is>
          <t>OWASP Top 10 for LLM Applications</t>
        </is>
      </c>
      <c r="F18" s="12" t="inlineStr">
        <is>
          <t>https://owasp.org/www-project-top-10-for-large-language-model-applications/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>
        <is>
          <t>Intermediate</t>
        </is>
      </c>
      <c r="J18" s="11" t="inlineStr">
        <is>
          <t>60 min</t>
        </is>
      </c>
      <c r="K18" s="11" t="inlineStr">
        <is>
          <t>Regulated assistant threat model</t>
        </is>
      </c>
      <c r="L18" s="11" t="inlineStr">
        <is>
          <t>LLM01 injection; excessive agency</t>
        </is>
      </c>
      <c r="M18" s="11" t="inlineStr">
        <is>
          <t>Modules/00-Foundations/00-06-BankCo-Decision-Support-Warmup.md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01-01</t>
        </is>
      </c>
      <c r="C19" s="11" t="inlineStr">
        <is>
          <t>01-LLM-Engineering</t>
        </is>
      </c>
      <c r="D19" s="11" t="n">
        <v>1</v>
      </c>
      <c r="E19" s="11" t="inlineStr">
        <is>
          <t>Attention Is All You Need</t>
        </is>
      </c>
      <c r="F19" s="12" t="inlineStr">
        <is>
          <t>https://arxiv.org/abs/1706.03762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>
        <is>
          <t>Advanced</t>
        </is>
      </c>
      <c r="J19" s="11" t="inlineStr">
        <is>
          <t>60–90 min</t>
        </is>
      </c>
      <c r="K19" s="11" t="inlineStr">
        <is>
          <t>Original architecture; shared vocabulary</t>
        </is>
      </c>
      <c r="L19" s="11" t="inlineStr">
        <is>
          <t>§3 Model Architecture; §3.2 Attention</t>
        </is>
      </c>
      <c r="M19" s="11" t="inlineStr">
        <is>
          <t>Modules/01-LLM-Engineering/01-01-Transformer-Architecture.md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01-01</t>
        </is>
      </c>
      <c r="C20" s="11" t="inlineStr">
        <is>
          <t>01-LLM-Engineering</t>
        </is>
      </c>
      <c r="D20" s="11" t="n">
        <v>2</v>
      </c>
      <c r="E20" s="11" t="inlineStr">
        <is>
          <t>Hugging Face Transformers Docs</t>
        </is>
      </c>
      <c r="F20" s="12" t="inlineStr">
        <is>
          <t>https://huggingface.co/docs/transformers/en/index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>
        <is>
          <t>Intro–Intermediate</t>
        </is>
      </c>
      <c r="J20" s="11" t="inlineStr">
        <is>
          <t>45 min</t>
        </is>
      </c>
      <c r="K20" s="11" t="inlineStr">
        <is>
          <t>Production model APIs &amp; config objects</t>
        </is>
      </c>
      <c r="L20" s="11" t="inlineStr">
        <is>
          <t>Quickstart; Model docs; Generation</t>
        </is>
      </c>
      <c r="M20" s="11" t="inlineStr">
        <is>
          <t>Modules/01-LLM-Engineering/01-01-Transformer-Architecture.md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01-01</t>
        </is>
      </c>
      <c r="C21" s="11" t="inlineStr">
        <is>
          <t>01-LLM-Engineering</t>
        </is>
      </c>
      <c r="D21" s="11" t="n">
        <v>3</v>
      </c>
      <c r="E21" s="11" t="inlineStr">
        <is>
          <t>HF NLP Course Ch.1</t>
        </is>
      </c>
      <c r="F21" s="12" t="inlineStr">
        <is>
          <t>https://huggingface.co/learn/nlp-course/chapter1/1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>
        <is>
          <t>Intro</t>
        </is>
      </c>
      <c r="J21" s="11" t="inlineStr">
        <is>
          <t>30 min</t>
        </is>
      </c>
      <c r="K21" s="11" t="inlineStr">
        <is>
          <t>Gentle transformer intuition for engineers</t>
        </is>
      </c>
      <c r="L21" s="11" t="inlineStr">
        <is>
          <t>Transformer models section</t>
        </is>
      </c>
      <c r="M21" s="11" t="inlineStr">
        <is>
          <t>Modules/01-LLM-Engineering/01-01-Transformer-Architecture.md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01-01</t>
        </is>
      </c>
      <c r="C22" s="11" t="inlineStr">
        <is>
          <t>01-LLM-Engineering</t>
        </is>
      </c>
      <c r="D22" s="11" t="n">
        <v>4</v>
      </c>
      <c r="E22" s="11" t="inlineStr">
        <is>
          <t>OpenAI Production Best Practices</t>
        </is>
      </c>
      <c r="F22" s="12" t="inlineStr">
        <is>
          <t>https://developers.openai.com/api/docs/guides/production-best-practices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>
        <is>
          <t>Intermediate</t>
        </is>
      </c>
      <c r="J22" s="11" t="inlineStr">
        <is>
          <t>40 min</t>
        </is>
      </c>
      <c r="K22" s="11" t="inlineStr">
        <is>
          <t>Latency/cost tied to token generation physics</t>
        </is>
      </c>
      <c r="L22" s="11" t="inlineStr">
        <is>
          <t>Improving latencies; Managing costs</t>
        </is>
      </c>
      <c r="M22" s="11" t="inlineStr">
        <is>
          <t>Modules/01-LLM-Engineering/01-01-Transformer-Architecture.md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01-01</t>
        </is>
      </c>
      <c r="C23" s="11" t="inlineStr">
        <is>
          <t>01-LLM-Engineering</t>
        </is>
      </c>
      <c r="D23" s="11" t="n">
        <v>5</v>
      </c>
      <c r="E23" s="11" t="inlineStr">
        <is>
          <t>RoFormer (RoPE paper)</t>
        </is>
      </c>
      <c r="F23" s="12" t="inlineStr">
        <is>
          <t>https://arxiv.org/abs/2104.09864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>
        <is>
          <t>Advanced</t>
        </is>
      </c>
      <c r="J23" s="11" t="inlineStr">
        <is>
          <t>45 min</t>
        </is>
      </c>
      <c r="K23" s="11" t="inlineStr">
        <is>
          <t>Deep dive on rotary embeddings</t>
        </is>
      </c>
      <c r="L23" s="11" t="inlineStr">
        <is>
          <t>RoPE formulation (optional)</t>
        </is>
      </c>
      <c r="M23" s="11" t="inlineStr">
        <is>
          <t>Modules/01-LLM-Engineering/01-01-Transformer-Architecture.md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01-01</t>
        </is>
      </c>
      <c r="C24" s="11" t="inlineStr">
        <is>
          <t>01-LLM-Engineering</t>
        </is>
      </c>
      <c r="D24" s="11" t="n">
        <v>6</v>
      </c>
      <c r="E24" s="11" t="inlineStr">
        <is>
          <t>Training Compute-Optimal LLMs (Chinchilla)</t>
        </is>
      </c>
      <c r="F24" s="12" t="inlineStr">
        <is>
          <t>https://arxiv.org/abs/2203.15556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>
        <is>
          <t>Advanced</t>
        </is>
      </c>
      <c r="J24" s="11" t="inlineStr">
        <is>
          <t>60 min</t>
        </is>
      </c>
      <c r="K24" s="11" t="inlineStr">
        <is>
          <t>Scaling laws for sizing decisions</t>
        </is>
      </c>
      <c r="L24" s="11" t="inlineStr">
        <is>
          <t>Abstract; compute-optimal frontier</t>
        </is>
      </c>
      <c r="M24" s="11" t="inlineStr">
        <is>
          <t>Modules/01-LLM-Engineering/01-01-Transformer-Architecture.md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01-02</t>
        </is>
      </c>
      <c r="C25" s="11" t="inlineStr">
        <is>
          <t>01-LLM-Engineering</t>
        </is>
      </c>
      <c r="D25" s="11" t="n">
        <v>1</v>
      </c>
      <c r="E25" s="11" t="inlineStr">
        <is>
          <t>tiktoken (OpenAI BPE)</t>
        </is>
      </c>
      <c r="F25" s="12" t="inlineStr">
        <is>
          <t>https://github.com/openai/tiktoken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>
        <is>
          <t>Intro</t>
        </is>
      </c>
      <c r="J25" s="11" t="inlineStr">
        <is>
          <t>20 min</t>
        </is>
      </c>
      <c r="K25" s="11" t="inlineStr">
        <is>
          <t>Exact OpenAI token counting</t>
        </is>
      </c>
      <c r="L25" s="11" t="inlineStr">
        <is>
          <t>README; `encoding_for_model`</t>
        </is>
      </c>
      <c r="M25" s="11" t="inlineStr">
        <is>
          <t>Modules/01-LLM-Engineering/01-02-Tokenization-Context-Windows.md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01-02</t>
        </is>
      </c>
      <c r="C26" s="11" t="inlineStr">
        <is>
          <t>01-LLM-Engineering</t>
        </is>
      </c>
      <c r="D26" s="11" t="n">
        <v>2</v>
      </c>
      <c r="E26" s="11" t="inlineStr">
        <is>
          <t>OpenAI Text Generation Guide</t>
        </is>
      </c>
      <c r="F26" s="12" t="inlineStr">
        <is>
          <t>https://developers.openai.com/api/docs/guides/text-generation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>
        <is>
          <t>Intro</t>
        </is>
      </c>
      <c r="J26" s="11" t="inlineStr">
        <is>
          <t>45 min</t>
        </is>
      </c>
      <c r="K26" s="11" t="inlineStr">
        <is>
          <t>Official context &amp; message semantics</t>
        </is>
      </c>
      <c r="L26" s="11" t="inlineStr">
        <is>
          <t>Max tokens; message roles</t>
        </is>
      </c>
      <c r="M26" s="11" t="inlineStr">
        <is>
          <t>Modules/01-LLM-Engineering/01-02-Tokenization-Context-Windows.md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01-02</t>
        </is>
      </c>
      <c r="C27" s="11" t="inlineStr">
        <is>
          <t>01-LLM-Engineering</t>
        </is>
      </c>
      <c r="D27" s="11" t="n">
        <v>3</v>
      </c>
      <c r="E27" s="11" t="inlineStr">
        <is>
          <t>Anthropic Context Windows</t>
        </is>
      </c>
      <c r="F27" s="12" t="inlineStr">
        <is>
          <t>https://platform.claude.com/docs/en/docs/build-with-claude/context-windows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Intermediate</t>
        </is>
      </c>
      <c r="J27" s="11" t="inlineStr">
        <is>
          <t>40 min</t>
        </is>
      </c>
      <c r="K27" s="11" t="inlineStr">
        <is>
          <t>Context rot, thinking tokens, compaction</t>
        </is>
      </c>
      <c r="L27" s="11" t="inlineStr">
        <is>
          <t>What counts; overflow behavior</t>
        </is>
      </c>
      <c r="M27" s="11" t="inlineStr">
        <is>
          <t>Modules/01-LLM-Engineering/01-02-Tokenization-Context-Windows.md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01-02</t>
        </is>
      </c>
      <c r="C28" s="11" t="inlineStr">
        <is>
          <t>01-LLM-Engineering</t>
        </is>
      </c>
      <c r="D28" s="11" t="n">
        <v>4</v>
      </c>
      <c r="E28" s="11" t="inlineStr">
        <is>
          <t>Gemini Long Context</t>
        </is>
      </c>
      <c r="F28" s="12" t="inlineStr">
        <is>
          <t>https://ai.google.dev/gemini-api/docs/long-context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30 min</t>
        </is>
      </c>
      <c r="K28" s="11" t="inlineStr">
        <is>
          <t>Multimodal long-context constraints</t>
        </is>
      </c>
      <c r="L28" s="11" t="inlineStr">
        <is>
          <t>Limits; best practices</t>
        </is>
      </c>
      <c r="M28" s="11" t="inlineStr">
        <is>
          <t>Modules/01-LLM-Engineering/01-02-Tokenization-Context-Windows.md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01-02</t>
        </is>
      </c>
      <c r="C29" s="11" t="inlineStr">
        <is>
          <t>01-LLM-Engineering</t>
        </is>
      </c>
      <c r="D29" s="11" t="n">
        <v>5</v>
      </c>
      <c r="E29" s="11" t="inlineStr">
        <is>
          <t>Attention Is All You Need</t>
        </is>
      </c>
      <c r="F29" s="12" t="inlineStr">
        <is>
          <t>https://arxiv.org/abs/1706.03762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Advanced</t>
        </is>
      </c>
      <c r="J29" s="11" t="inlineStr">
        <is>
          <t>60 min</t>
        </is>
      </c>
      <c r="K29" s="11" t="inlineStr">
        <is>
          <t>Why prefill scales with sequence² — ties to [01-01](01-01-Transformer-Architecture.md)</t>
        </is>
      </c>
      <c r="L29" s="11" t="inlineStr">
        <is>
          <t>Multi-head attention</t>
        </is>
      </c>
      <c r="M29" s="11" t="inlineStr">
        <is>
          <t>Modules/01-LLM-Engineering/01-02-Tokenization-Context-Windows.md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01-02</t>
        </is>
      </c>
      <c r="C30" s="11" t="inlineStr">
        <is>
          <t>01-LLM-Engineering</t>
        </is>
      </c>
      <c r="D30" s="11" t="n">
        <v>6</v>
      </c>
      <c r="E30" s="11" t="inlineStr">
        <is>
          <t>Lost in the Middle (Liu et al.)</t>
        </is>
      </c>
      <c r="F30" s="12" t="inlineStr">
        <is>
          <t>https://arxiv.org/abs/2307.03172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45 min</t>
        </is>
      </c>
      <c r="K30" s="11" t="inlineStr">
        <is>
          <t>Evidence for long-context recall limits</t>
        </is>
      </c>
      <c r="L30" s="11" t="inlineStr">
        <is>
          <t>Experiments on placement</t>
        </is>
      </c>
      <c r="M30" s="11" t="inlineStr">
        <is>
          <t>Modules/01-LLM-Engineering/01-02-Tokenization-Context-Windows.md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01-02</t>
        </is>
      </c>
      <c r="C31" s="11" t="inlineStr">
        <is>
          <t>01-LLM-Engineering</t>
        </is>
      </c>
      <c r="D31" s="11" t="n">
        <v>7</v>
      </c>
      <c r="E31" s="11" t="inlineStr">
        <is>
          <t>Neural Machine Translation by Jointly Learning to Align and Translate</t>
        </is>
      </c>
      <c r="F31" s="12" t="inlineStr">
        <is>
          <t>https://arxiv.org/abs/1409.0473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Advanced</t>
        </is>
      </c>
      <c r="J31" s="11" t="inlineStr">
        <is>
          <t>Optional</t>
        </is>
      </c>
      <c r="K31" s="11" t="inlineStr">
        <is>
          <t>Historical attention intuition</t>
        </is>
      </c>
      <c r="L31" s="11" t="inlineStr">
        <is>
          <t>Attention mechanism</t>
        </is>
      </c>
      <c r="M31" s="11" t="inlineStr">
        <is>
          <t>Modules/01-LLM-Engineering/01-02-Tokenization-Context-Windows.md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01-03</t>
        </is>
      </c>
      <c r="C32" s="11" t="inlineStr">
        <is>
          <t>01-LLM-Engineering</t>
        </is>
      </c>
      <c r="D32" s="11" t="n">
        <v>1</v>
      </c>
      <c r="E32" s="11" t="inlineStr">
        <is>
          <t>vLLM Documentation</t>
        </is>
      </c>
      <c r="F32" s="12" t="inlineStr">
        <is>
          <t>https://docs.vllm.ai/en/latest/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>
        <is>
          <t>Intermediate</t>
        </is>
      </c>
      <c r="J32" s="11" t="inlineStr">
        <is>
          <t>60 min</t>
        </is>
      </c>
      <c r="K32" s="11" t="inlineStr">
        <is>
          <t>Official serving flags, APIs, schedulers</t>
        </is>
      </c>
      <c r="L32" s="11" t="inlineStr">
        <is>
          <t>Installation; OpenAI server; optimization</t>
        </is>
      </c>
      <c r="M32" s="11" t="inlineStr">
        <is>
          <t>Modules/01-LLM-Engineering/01-03-Inference-Serving-vLLM.md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01-03</t>
        </is>
      </c>
      <c r="C33" s="11" t="inlineStr">
        <is>
          <t>01-LLM-Engineering</t>
        </is>
      </c>
      <c r="D33" s="11" t="n">
        <v>2</v>
      </c>
      <c r="E33" s="11" t="inlineStr">
        <is>
          <t>vLLM GitHub</t>
        </is>
      </c>
      <c r="F33" s="12" t="inlineStr">
        <is>
          <t>https://github.com/vllm-project/vllm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>
        <is>
          <t>Intermediate</t>
        </is>
      </c>
      <c r="J33" s="11" t="inlineStr">
        <is>
          <t>30 min</t>
        </is>
      </c>
      <c r="K33" s="11" t="inlineStr">
        <is>
          <t>Issue tracker, release notes, examples</t>
        </is>
      </c>
      <c r="L33" s="11" t="inlineStr">
        <is>
          <t>README; performance tips</t>
        </is>
      </c>
      <c r="M33" s="11" t="inlineStr">
        <is>
          <t>Modules/01-LLM-Engineering/01-03-Inference-Serving-vLLM.md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01-03</t>
        </is>
      </c>
      <c r="C34" s="11" t="inlineStr">
        <is>
          <t>01-LLM-Engineering</t>
        </is>
      </c>
      <c r="D34" s="11" t="n">
        <v>3</v>
      </c>
      <c r="E34" s="11" t="inlineStr">
        <is>
          <t>Ollama GitHub</t>
        </is>
      </c>
      <c r="F34" s="12" t="inlineStr">
        <is>
          <t>https://github.com/ollama/ollama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>
        <is>
          <t>Intro</t>
        </is>
      </c>
      <c r="J34" s="11" t="inlineStr">
        <is>
          <t>20 min</t>
        </is>
      </c>
      <c r="K34" s="11" t="inlineStr">
        <is>
          <t>Local model pull/run workflow</t>
        </is>
      </c>
      <c r="L34" s="11" t="inlineStr">
        <is>
          <t>API; modelfiles</t>
        </is>
      </c>
      <c r="M34" s="11" t="inlineStr">
        <is>
          <t>Modules/01-LLM-Engineering/01-03-Inference-Serving-vLLM.md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01-03</t>
        </is>
      </c>
      <c r="C35" s="11" t="inlineStr">
        <is>
          <t>01-LLM-Engineering</t>
        </is>
      </c>
      <c r="D35" s="11" t="n">
        <v>4</v>
      </c>
      <c r="E35" s="11" t="inlineStr">
        <is>
          <t>HF Quantization</t>
        </is>
      </c>
      <c r="F35" s="12" t="inlineStr">
        <is>
          <t>https://huggingface.co/docs/transformers/en/main_classes/quantization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>
        <is>
          <t>Intermediate</t>
        </is>
      </c>
      <c r="J35" s="11" t="inlineStr">
        <is>
          <t>45 min</t>
        </is>
      </c>
      <c r="K35" s="11" t="inlineStr">
        <is>
          <t>GPTQ/AWQ/BnB overview</t>
        </is>
      </c>
      <c r="L35" s="11" t="inlineStr">
        <is>
          <t>Method comparison tables</t>
        </is>
      </c>
      <c r="M35" s="11" t="inlineStr">
        <is>
          <t>Modules/01-LLM-Engineering/01-03-Inference-Serving-vLLM.md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01-03</t>
        </is>
      </c>
      <c r="C36" s="11" t="inlineStr">
        <is>
          <t>01-LLM-Engineering</t>
        </is>
      </c>
      <c r="D36" s="11" t="n">
        <v>5</v>
      </c>
      <c r="E36" s="11" t="inlineStr">
        <is>
          <t>TensorRT-LLM</t>
        </is>
      </c>
      <c r="F36" s="12" t="inlineStr">
        <is>
          <t>https://developer.nvidia.com/tensorrt-llm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>
        <is>
          <t>Advanced</t>
        </is>
      </c>
      <c r="J36" s="11" t="inlineStr">
        <is>
          <t>45 min</t>
        </is>
      </c>
      <c r="K36" s="11" t="inlineStr">
        <is>
          <t>When compiled NVIDIA stacks win</t>
        </is>
      </c>
      <c r="L36" s="11" t="inlineStr">
        <is>
          <t>Quick start; perf guides</t>
        </is>
      </c>
      <c r="M36" s="11" t="inlineStr">
        <is>
          <t>Modules/01-LLM-Engineering/01-03-Inference-Serving-vLLM.md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01-03</t>
        </is>
      </c>
      <c r="C37" s="11" t="inlineStr">
        <is>
          <t>01-LLM-Engineering</t>
        </is>
      </c>
      <c r="D37" s="11" t="n">
        <v>6</v>
      </c>
      <c r="E37" s="11" t="inlineStr">
        <is>
          <t>PagedAttention paper (vLLM)</t>
        </is>
      </c>
      <c r="F37" s="12" t="inlineStr">
        <is>
          <t>https://arxiv.org/abs/2309.06180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>
        <is>
          <t>Advanced</t>
        </is>
      </c>
      <c r="J37" s="11" t="inlineStr">
        <is>
          <t>45 min</t>
        </is>
      </c>
      <c r="K37" s="11" t="inlineStr">
        <is>
          <t>Primary source for paging intuition</t>
        </is>
      </c>
      <c r="L37" s="11" t="inlineStr">
        <is>
          <t>§3 Memory management</t>
        </is>
      </c>
      <c r="M37" s="11" t="inlineStr">
        <is>
          <t>Modules/01-LLM-Engineering/01-03-Inference-Serving-vLLM.md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01-03</t>
        </is>
      </c>
      <c r="C38" s="11" t="inlineStr">
        <is>
          <t>01-LLM-Engineering</t>
        </is>
      </c>
      <c r="D38" s="11" t="n">
        <v>7</v>
      </c>
      <c r="E38" s="11" t="inlineStr">
        <is>
          <t>Speculative Decoding</t>
        </is>
      </c>
      <c r="F38" s="12" t="inlineStr">
        <is>
          <t>https://arxiv.org/abs/2211.17192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>
        <is>
          <t>Advanced</t>
        </is>
      </c>
      <c r="J38" s="11" t="inlineStr">
        <is>
          <t>30 min</t>
        </is>
      </c>
      <c r="K38" s="11" t="inlineStr">
        <is>
          <t>Draft/verify mental model</t>
        </is>
      </c>
      <c r="L38" s="11" t="inlineStr">
        <is>
          <t>Algorithm 1</t>
        </is>
      </c>
      <c r="M38" s="11" t="inlineStr">
        <is>
          <t>Modules/01-LLM-Engineering/01-03-Inference-Serving-vLLM.md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01-04</t>
        </is>
      </c>
      <c r="C39" s="11" t="inlineStr">
        <is>
          <t>01-LLM-Engineering</t>
        </is>
      </c>
      <c r="D39" s="11" t="n">
        <v>1</v>
      </c>
      <c r="E39" s="11" t="inlineStr">
        <is>
          <t>LiteLLM Documentation</t>
        </is>
      </c>
      <c r="F39" s="12" t="inlineStr">
        <is>
          <t>https://docs.litellm.ai/docs/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>
        <is>
          <t>Intro</t>
        </is>
      </c>
      <c r="J39" s="11" t="inlineStr">
        <is>
          <t>45 min</t>
        </is>
      </c>
      <c r="K39" s="11" t="inlineStr">
        <is>
          <t>Canonical API and proxy reference</t>
        </is>
      </c>
      <c r="L39" s="11" t="inlineStr">
        <is>
          <t>Router; Proxy; Provider list</t>
        </is>
      </c>
      <c r="M39" s="11" t="inlineStr">
        <is>
          <t>Modules/01-LLM-Engineering/01-04-Model-Routing-LiteLLM.md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01-04</t>
        </is>
      </c>
      <c r="C40" s="11" t="inlineStr">
        <is>
          <t>01-LLM-Engineering</t>
        </is>
      </c>
      <c r="D40" s="11" t="n">
        <v>2</v>
      </c>
      <c r="E40" s="11" t="inlineStr">
        <is>
          <t>LiteLLM GitHub</t>
        </is>
      </c>
      <c r="F40" s="12" t="inlineStr">
        <is>
          <t>https://github.com/BerriAI/litellm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>
        <is>
          <t>Intro</t>
        </is>
      </c>
      <c r="J40" s="11" t="inlineStr">
        <is>
          <t>20 min</t>
        </is>
      </c>
      <c r="K40" s="11" t="inlineStr">
        <is>
          <t>Source, issues, release notes</t>
        </is>
      </c>
      <c r="L40" s="11" t="inlineStr">
        <is>
          <t>Router examples; config samples</t>
        </is>
      </c>
      <c r="M40" s="11" t="inlineStr">
        <is>
          <t>Modules/01-LLM-Engineering/01-04-Model-Routing-LiteLLM.md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01-04</t>
        </is>
      </c>
      <c r="C41" s="11" t="inlineStr">
        <is>
          <t>01-LLM-Engineering</t>
        </is>
      </c>
      <c r="D41" s="11" t="n">
        <v>3</v>
      </c>
      <c r="E41" s="11" t="inlineStr">
        <is>
          <t>Router — Load Balancing</t>
        </is>
      </c>
      <c r="F41" s="12" t="inlineStr">
        <is>
          <t>https://docs.litellm.ai/docs/routing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>
        <is>
          <t>Intermediate</t>
        </is>
      </c>
      <c r="J41" s="11" t="inlineStr">
        <is>
          <t>40 min</t>
        </is>
      </c>
      <c r="K41" s="11" t="inlineStr">
        <is>
          <t>Fallbacks, cooldowns, strategies</t>
        </is>
      </c>
      <c r="L41" s="11" t="inlineStr">
        <is>
          <t>Routing strategies; fallbacks</t>
        </is>
      </c>
      <c r="M41" s="11" t="inlineStr">
        <is>
          <t>Modules/01-LLM-Engineering/01-04-Model-Routing-LiteLLM.md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01-04</t>
        </is>
      </c>
      <c r="C42" s="11" t="inlineStr">
        <is>
          <t>01-LLM-Engineering</t>
        </is>
      </c>
      <c r="D42" s="11" t="n">
        <v>4</v>
      </c>
      <c r="E42" s="11" t="inlineStr">
        <is>
          <t>Proxy — Load Balancing</t>
        </is>
      </c>
      <c r="F42" s="12" t="inlineStr">
        <is>
          <t>https://docs.litellm.ai/docs/proxy/load_balancing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Intermediate</t>
        </is>
      </c>
      <c r="J42" s="11" t="inlineStr">
        <is>
          <t>30 min</t>
        </is>
      </c>
      <c r="K42" s="11" t="inlineStr">
        <is>
          <t>Production proxy setup</t>
        </is>
      </c>
      <c r="L42" s="11" t="inlineStr">
        <is>
          <t>Redis; router_settings</t>
        </is>
      </c>
      <c r="M42" s="11" t="inlineStr">
        <is>
          <t>Modules/01-LLM-Engineering/01-04-Model-Routing-LiteLLM.md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01-04</t>
        </is>
      </c>
      <c r="C43" s="11" t="inlineStr">
        <is>
          <t>01-LLM-Engineering</t>
        </is>
      </c>
      <c r="D43" s="11" t="n">
        <v>5</v>
      </c>
      <c r="E43" s="11" t="inlineStr">
        <is>
          <t>Budget Routing</t>
        </is>
      </c>
      <c r="F43" s="12" t="inlineStr">
        <is>
          <t>https://docs.litellm.ai/docs/proxy/provider_budget_routing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Intermediate</t>
        </is>
      </c>
      <c r="J43" s="11" t="inlineStr">
        <is>
          <t>25 min</t>
        </is>
      </c>
      <c r="K43" s="11" t="inlineStr">
        <is>
          <t>Provider spend caps</t>
        </is>
      </c>
      <c r="L43" s="11" t="inlineStr">
        <is>
          <t>provider_budget_config</t>
        </is>
      </c>
      <c r="M43" s="11" t="inlineStr">
        <is>
          <t>Modules/01-LLM-Engineering/01-04-Model-Routing-LiteLLM.md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01-04</t>
        </is>
      </c>
      <c r="C44" s="11" t="inlineStr">
        <is>
          <t>01-LLM-Engineering</t>
        </is>
      </c>
      <c r="D44" s="11" t="n">
        <v>6</v>
      </c>
      <c r="E44" s="11" t="inlineStr">
        <is>
          <t>Budget Fallbacks</t>
        </is>
      </c>
      <c r="F44" s="12" t="inlineStr">
        <is>
          <t>https://docs.litellm.ai/docs/proxy/budget_fallbacks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Intermediate</t>
        </is>
      </c>
      <c r="J44" s="11" t="inlineStr">
        <is>
          <t>20 min</t>
        </is>
      </c>
      <c r="K44" s="11" t="inlineStr">
        <is>
          <t>Step-down on key budgets</t>
        </is>
      </c>
      <c r="L44" s="11" t="inlineStr">
        <is>
          <t>budget_fallbacks chains</t>
        </is>
      </c>
      <c r="M44" s="11" t="inlineStr">
        <is>
          <t>Modules/01-LLM-Engineering/01-04-Model-Routing-LiteLLM.md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01-04</t>
        </is>
      </c>
      <c r="C45" s="11" t="inlineStr">
        <is>
          <t>01-LLM-Engineering</t>
        </is>
      </c>
      <c r="D45" s="11" t="n">
        <v>7</v>
      </c>
      <c r="E45" s="11" t="inlineStr">
        <is>
          <t>OpenAI API Documentation</t>
        </is>
      </c>
      <c r="F45" s="12" t="inlineStr">
        <is>
          <t>https://developers.openai.com/api/docs/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60 min</t>
        </is>
      </c>
      <c r="K45" s="11" t="inlineStr">
        <is>
          <t>Baseline OpenAI-compatible contract</t>
        </is>
      </c>
      <c r="L45" s="11" t="inlineStr">
        <is>
          <t>Chat Completions; models</t>
        </is>
      </c>
      <c r="M45" s="11" t="inlineStr">
        <is>
          <t>Modules/01-LLM-Engineering/01-04-Model-Routing-LiteLLM.md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01-04</t>
        </is>
      </c>
      <c r="C46" s="11" t="inlineStr">
        <is>
          <t>01-LLM-Engineering</t>
        </is>
      </c>
      <c r="D46" s="11" t="n">
        <v>8</v>
      </c>
      <c r="E46" s="11" t="inlineStr">
        <is>
          <t>Anthropic API Overview</t>
        </is>
      </c>
      <c r="F46" s="12" t="inlineStr">
        <is>
          <t>https://docs.anthropic.com/en/api/overview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Intro</t>
        </is>
      </c>
      <c r="J46" s="11" t="inlineStr">
        <is>
          <t>45 min</t>
        </is>
      </c>
      <c r="K46" s="11" t="inlineStr">
        <is>
          <t>Claude routing strings</t>
        </is>
      </c>
      <c r="L46" s="11" t="inlineStr">
        <is>
          <t>Messages API; models</t>
        </is>
      </c>
      <c r="M46" s="11" t="inlineStr">
        <is>
          <t>Modules/01-LLM-Engineering/01-04-Model-Routing-LiteLLM.md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01-05</t>
        </is>
      </c>
      <c r="C47" s="11" t="inlineStr">
        <is>
          <t>01-LLM-Engineering</t>
        </is>
      </c>
      <c r="D47" s="11" t="n">
        <v>1</v>
      </c>
      <c r="E47" s="11" t="inlineStr">
        <is>
          <t>OpenAI API Documentation</t>
        </is>
      </c>
      <c r="F47" s="12" t="inlineStr">
        <is>
          <t>https://developers.openai.com/api/docs/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Intro</t>
        </is>
      </c>
      <c r="J47" s="11" t="inlineStr">
        <is>
          <t>60 min</t>
        </is>
      </c>
      <c r="K47" s="11" t="inlineStr">
        <is>
          <t>Canonical Responses + tools reference</t>
        </is>
      </c>
      <c r="L47" s="11" t="inlineStr">
        <is>
          <t>Responses API; structured outputs; streaming</t>
        </is>
      </c>
      <c r="M47" s="11" t="inlineStr">
        <is>
          <t>Modules/01-LLM-Engineering/01-05-Provider-SDKs-OpenAI-Claude-Gemini.md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01-05</t>
        </is>
      </c>
      <c r="C48" s="11" t="inlineStr">
        <is>
          <t>01-LLM-Engineering</t>
        </is>
      </c>
      <c r="D48" s="11" t="n">
        <v>2</v>
      </c>
      <c r="E48" s="11" t="inlineStr">
        <is>
          <t>OpenAI Python SDK</t>
        </is>
      </c>
      <c r="F48" s="12" t="inlineStr">
        <is>
          <t>https://github.com/openai/openai-python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</t>
        </is>
      </c>
      <c r="J48" s="11" t="inlineStr">
        <is>
          <t>30 min</t>
        </is>
      </c>
      <c r="K48" s="11" t="inlineStr">
        <is>
          <t>`responses.parse`, streaming helpers</t>
        </is>
      </c>
      <c r="L48" s="11" t="inlineStr">
        <is>
          <t>helpers.md; examples</t>
        </is>
      </c>
      <c r="M48" s="11" t="inlineStr">
        <is>
          <t>Modules/01-LLM-Engineering/01-05-Provider-SDKs-OpenAI-Claude-Gemini.md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01-05</t>
        </is>
      </c>
      <c r="C49" s="11" t="inlineStr">
        <is>
          <t>01-LLM-Engineering</t>
        </is>
      </c>
      <c r="D49" s="11" t="n">
        <v>3</v>
      </c>
      <c r="E49" s="11" t="inlineStr">
        <is>
          <t>Anthropic API Overview</t>
        </is>
      </c>
      <c r="F49" s="12" t="inlineStr">
        <is>
          <t>https://platform.claude.com/docs/en/api/overview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45 min</t>
        </is>
      </c>
      <c r="K49" s="11" t="inlineStr">
        <is>
          <t>Messages API mental model</t>
        </is>
      </c>
      <c r="L49" s="11" t="inlineStr">
        <is>
          <t>Messages; tool use; streaming</t>
        </is>
      </c>
      <c r="M49" s="11" t="inlineStr">
        <is>
          <t>Modules/01-LLM-Engineering/01-05-Provider-SDKs-OpenAI-Claude-Gemini.md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01-05</t>
        </is>
      </c>
      <c r="C50" s="11" t="inlineStr">
        <is>
          <t>01-LLM-Engineering</t>
        </is>
      </c>
      <c r="D50" s="11" t="n">
        <v>4</v>
      </c>
      <c r="E50" s="11" t="inlineStr">
        <is>
          <t>Anthropic Python SDK</t>
        </is>
      </c>
      <c r="F50" s="12" t="inlineStr">
        <is>
          <t>https://github.com/anthropics/anthropic-sdk-python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Intro</t>
        </is>
      </c>
      <c r="J50" s="11" t="inlineStr">
        <is>
          <t>30 min</t>
        </is>
      </c>
      <c r="K50" s="11" t="inlineStr">
        <is>
          <t>Typed messages + stream context managers</t>
        </is>
      </c>
      <c r="L50" s="11" t="inlineStr">
        <is>
          <t>README; streaming</t>
        </is>
      </c>
      <c r="M50" s="11" t="inlineStr">
        <is>
          <t>Modules/01-LLM-Engineering/01-05-Provider-SDKs-OpenAI-Claude-Gemini.md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01-05</t>
        </is>
      </c>
      <c r="C51" s="11" t="inlineStr">
        <is>
          <t>01-LLM-Engineering</t>
        </is>
      </c>
      <c r="D51" s="11" t="n">
        <v>5</v>
      </c>
      <c r="E51" s="11" t="inlineStr">
        <is>
          <t>Gemini API Docs</t>
        </is>
      </c>
      <c r="F51" s="12" t="inlineStr">
        <is>
          <t>https://ai.google.dev/gemini-api/docs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Intro</t>
        </is>
      </c>
      <c r="J51" s="11" t="inlineStr">
        <is>
          <t>45 min</t>
        </is>
      </c>
      <c r="K51" s="11" t="inlineStr">
        <is>
          <t>Structured output + function calling</t>
        </is>
      </c>
      <c r="L51" s="11" t="inlineStr">
        <is>
          <t>generateContent; tools; JSON schema</t>
        </is>
      </c>
      <c r="M51" s="11" t="inlineStr">
        <is>
          <t>Modules/01-LLM-Engineering/01-05-Provider-SDKs-OpenAI-Claude-Gemini.md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01-05</t>
        </is>
      </c>
      <c r="C52" s="11" t="inlineStr">
        <is>
          <t>01-LLM-Engineering</t>
        </is>
      </c>
      <c r="D52" s="11" t="n">
        <v>6</v>
      </c>
      <c r="E52" s="11" t="inlineStr">
        <is>
          <t>Google GenAI Python SDK</t>
        </is>
      </c>
      <c r="F52" s="12" t="inlineStr">
        <is>
          <t>https://github.com/googleapis/python-genai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Intro</t>
        </is>
      </c>
      <c r="J52" s="11" t="inlineStr">
        <is>
          <t>30 min</t>
        </is>
      </c>
      <c r="K52" s="11" t="inlineStr">
        <is>
          <t>`Client`, `types`, async patterns</t>
        </is>
      </c>
      <c r="L52" s="11" t="inlineStr">
        <is>
          <t>README; samples</t>
        </is>
      </c>
      <c r="M52" s="11" t="inlineStr">
        <is>
          <t>Modules/01-LLM-Engineering/01-05-Provider-SDKs-OpenAI-Claude-Gemini.md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01-05</t>
        </is>
      </c>
      <c r="C53" s="11" t="inlineStr">
        <is>
          <t>01-LLM-Engineering</t>
        </is>
      </c>
      <c r="D53" s="11" t="n">
        <v>7</v>
      </c>
      <c r="E53" s="11" t="inlineStr">
        <is>
          <t>DeepSeek API Docs</t>
        </is>
      </c>
      <c r="F53" s="12" t="inlineStr">
        <is>
          <t>https://api-docs.deepseek.com/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30 min</t>
        </is>
      </c>
      <c r="K53" s="11" t="inlineStr">
        <is>
          <t>OpenAI-compatible cost tier</t>
        </is>
      </c>
      <c r="L53" s="11" t="inlineStr">
        <is>
          <t>models; chat; pricing</t>
        </is>
      </c>
      <c r="M53" s="11" t="inlineStr">
        <is>
          <t>Modules/01-LLM-Engineering/01-05-Provider-SDKs-OpenAI-Claude-Gemini.md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02-01</t>
        </is>
      </c>
      <c r="C54" s="11" t="inlineStr">
        <is>
          <t>02-Prompt-Engineering</t>
        </is>
      </c>
      <c r="D54" s="11" t="n">
        <v>1</v>
      </c>
      <c r="E54" s="11" t="inlineStr">
        <is>
          <t>OpenAI Prompt Engineering Guide</t>
        </is>
      </c>
      <c r="F54" s="12" t="inlineStr">
        <is>
          <t>https://developers.openai.com/api/docs/guides/prompt-engineering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Intro</t>
        </is>
      </c>
      <c r="J54" s="11" t="inlineStr">
        <is>
          <t>45 min</t>
        </is>
      </c>
      <c r="K54" s="11" t="inlineStr">
        <is>
          <t>Official tactics for roles and iteration</t>
        </is>
      </c>
      <c r="L54" s="11" t="inlineStr">
        <is>
          <t>Message roles; clear instructions; split tasks</t>
        </is>
      </c>
      <c r="M54" s="11" t="inlineStr">
        <is>
          <t>Modules/02-Prompt-Engineering/02-01-Production-Prompt-Engineering.md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02-01</t>
        </is>
      </c>
      <c r="C55" s="11" t="inlineStr">
        <is>
          <t>02-Prompt-Engineering</t>
        </is>
      </c>
      <c r="D55" s="11" t="n">
        <v>2</v>
      </c>
      <c r="E55" s="11" t="inlineStr">
        <is>
          <t>OpenAI Structured Outputs</t>
        </is>
      </c>
      <c r="F55" s="12" t="inlineStr">
        <is>
          <t>https://developers.openai.com/api/docs/guides/structured-outputs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Intermediate</t>
        </is>
      </c>
      <c r="J55" s="11" t="inlineStr">
        <is>
          <t>40 min</t>
        </is>
      </c>
      <c r="K55" s="11" t="inlineStr">
        <is>
          <t>Bridge to 02-02; CoT schemas</t>
        </is>
      </c>
      <c r="L55" s="11" t="inlineStr">
        <is>
          <t>Pydantic parsing; refusals; when to use</t>
        </is>
      </c>
      <c r="M55" s="11" t="inlineStr">
        <is>
          <t>Modules/02-Prompt-Engineering/02-01-Production-Prompt-Engineering.md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02-01</t>
        </is>
      </c>
      <c r="C56" s="11" t="inlineStr">
        <is>
          <t>02-Prompt-Engineering</t>
        </is>
      </c>
      <c r="D56" s="11" t="n">
        <v>3</v>
      </c>
      <c r="E56" s="11" t="inlineStr">
        <is>
          <t>promptfoo Intro</t>
        </is>
      </c>
      <c r="F56" s="12" t="inlineStr">
        <is>
          <t>https://www.promptfoo.dev/docs/intro/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Intro</t>
        </is>
      </c>
      <c r="J56" s="11" t="inlineStr">
        <is>
          <t>20 min</t>
        </is>
      </c>
      <c r="K56" s="11" t="inlineStr">
        <is>
          <t>Eval-driven workflow</t>
        </is>
      </c>
      <c r="L56" s="11" t="inlineStr">
        <is>
          <t>Workflow; matrix evals; CI usage</t>
        </is>
      </c>
      <c r="M56" s="11" t="inlineStr">
        <is>
          <t>Modules/02-Prompt-Engineering/02-01-Production-Prompt-Engineering.md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02-01</t>
        </is>
      </c>
      <c r="C57" s="11" t="inlineStr">
        <is>
          <t>02-Prompt-Engineering</t>
        </is>
      </c>
      <c r="D57" s="11" t="n">
        <v>4</v>
      </c>
      <c r="E57" s="11" t="inlineStr">
        <is>
          <t>OpenAI Function Calling</t>
        </is>
      </c>
      <c r="F57" s="12" t="inlineStr">
        <is>
          <t>https://developers.openai.com/api/docs/guides/function-calling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Intermediate</t>
        </is>
      </c>
      <c r="J57" s="11" t="inlineStr">
        <is>
          <t>40 min</t>
        </is>
      </c>
      <c r="K57" s="11" t="inlineStr">
        <is>
          <t>Tools as prompt contracts (preview for 02-02)</t>
        </is>
      </c>
      <c r="L57" s="11" t="inlineStr">
        <is>
          <t>Tool definitions; structured outputs overlap</t>
        </is>
      </c>
      <c r="M57" s="11" t="inlineStr">
        <is>
          <t>Modules/02-Prompt-Engineering/02-01-Production-Prompt-Engineering.md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02-01</t>
        </is>
      </c>
      <c r="C58" s="11" t="inlineStr">
        <is>
          <t>02-Prompt-Engineering</t>
        </is>
      </c>
      <c r="D58" s="11" t="n">
        <v>5</v>
      </c>
      <c r="E58" s="11" t="inlineStr">
        <is>
          <t>Anthropic Tool Use</t>
        </is>
      </c>
      <c r="F58" s="12" t="inlineStr">
        <is>
          <t>https://platform.claude.com/docs/en/docs/build-with-claude/tool-use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Intermediate</t>
        </is>
      </c>
      <c r="J58" s="11" t="inlineStr">
        <is>
          <t>35 min</t>
        </is>
      </c>
      <c r="K58" s="11" t="inlineStr">
        <is>
          <t>Cross-provider prompt patterns</t>
        </is>
      </c>
      <c r="L58" s="11" t="inlineStr">
        <is>
          <t>Tool choice; system prompts</t>
        </is>
      </c>
      <c r="M58" s="11" t="inlineStr">
        <is>
          <t>Modules/02-Prompt-Engineering/02-01-Production-Prompt-Engineering.md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02-01</t>
        </is>
      </c>
      <c r="C59" s="11" t="inlineStr">
        <is>
          <t>02-Prompt-Engineering</t>
        </is>
      </c>
      <c r="D59" s="11" t="n">
        <v>6</v>
      </c>
      <c r="E59" s="11" t="inlineStr">
        <is>
          <t>Chain-of-Thought Prompting (paper)</t>
        </is>
      </c>
      <c r="F59" s="12" t="inlineStr">
        <is>
          <t>https://arxiv.org/abs/2201.11903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Advanced</t>
        </is>
      </c>
      <c r="J59" s="11" t="inlineStr">
        <is>
          <t>45 min</t>
        </is>
      </c>
      <c r="K59" s="11" t="inlineStr">
        <is>
          <t>When CoT helps reasoning</t>
        </is>
      </c>
      <c r="L59" s="11" t="inlineStr">
        <is>
          <t>Method; limitations</t>
        </is>
      </c>
      <c r="M59" s="11" t="inlineStr">
        <is>
          <t>Modules/02-Prompt-Engineering/02-01-Production-Prompt-Engineering.md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02-01</t>
        </is>
      </c>
      <c r="C60" s="11" t="inlineStr">
        <is>
          <t>02-Prompt-Engineering</t>
        </is>
      </c>
      <c r="D60" s="11" t="n">
        <v>7</v>
      </c>
      <c r="E60" s="11" t="inlineStr">
        <is>
          <t>OWASP LLM Top 10</t>
        </is>
      </c>
      <c r="F60" s="12" t="inlineStr">
        <is>
          <t>https://owasp.org/www-project-top-10-for-large-language-model-applications/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Intermediate</t>
        </is>
      </c>
      <c r="J60" s="11" t="inlineStr">
        <is>
          <t>60 min</t>
        </is>
      </c>
      <c r="K60" s="11" t="inlineStr">
        <is>
          <t>Jailbreak/injection context</t>
        </is>
      </c>
      <c r="L60" s="11" t="inlineStr">
        <is>
          <t>LLM01 Prompt Injection</t>
        </is>
      </c>
      <c r="M60" s="11" t="inlineStr">
        <is>
          <t>Modules/02-Prompt-Engineering/02-01-Production-Prompt-Engineering.md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02-02</t>
        </is>
      </c>
      <c r="C61" s="11" t="inlineStr">
        <is>
          <t>02-Prompt-Engineering</t>
        </is>
      </c>
      <c r="D61" s="11" t="n">
        <v>1</v>
      </c>
      <c r="E61" s="11" t="inlineStr">
        <is>
          <t>OpenAI Structured Outputs</t>
        </is>
      </c>
      <c r="F61" s="12" t="inlineStr">
        <is>
          <t>https://developers.openai.com/api/docs/guides/structured-outputs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Intermediate</t>
        </is>
      </c>
      <c r="J61" s="11" t="inlineStr">
        <is>
          <t>40 min</t>
        </is>
      </c>
      <c r="K61" s="11" t="inlineStr">
        <is>
          <t>Primary pattern for typed responses</t>
        </is>
      </c>
      <c r="L61" s="11" t="inlineStr">
        <is>
          <t>Pydantic; refusals; vs function calling</t>
        </is>
      </c>
      <c r="M61" s="11" t="inlineStr">
        <is>
          <t>Modules/02-Prompt-Engineering/02-02-Structured-Outputs-Tool-Calling.md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02-02</t>
        </is>
      </c>
      <c r="C62" s="11" t="inlineStr">
        <is>
          <t>02-Prompt-Engineering</t>
        </is>
      </c>
      <c r="D62" s="11" t="n">
        <v>2</v>
      </c>
      <c r="E62" s="11" t="inlineStr">
        <is>
          <t>OpenAI Function Calling</t>
        </is>
      </c>
      <c r="F62" s="12" t="inlineStr">
        <is>
          <t>https://developers.openai.com/api/docs/guides/function-calling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Intermediate</t>
        </is>
      </c>
      <c r="J62" s="11" t="inlineStr">
        <is>
          <t>45 min</t>
        </is>
      </c>
      <c r="K62" s="11" t="inlineStr">
        <is>
          <t>Tool loop mechanics</t>
        </is>
      </c>
      <c r="L62" s="11" t="inlineStr">
        <is>
          <t>Strict schemas; tool choice; Responses API</t>
        </is>
      </c>
      <c r="M62" s="11" t="inlineStr">
        <is>
          <t>Modules/02-Prompt-Engineering/02-02-Structured-Outputs-Tool-Calling.md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02-02</t>
        </is>
      </c>
      <c r="C63" s="11" t="inlineStr">
        <is>
          <t>02-Prompt-Engineering</t>
        </is>
      </c>
      <c r="D63" s="11" t="n">
        <v>3</v>
      </c>
      <c r="E63" s="11" t="inlineStr">
        <is>
          <t>Anthropic Tool Use</t>
        </is>
      </c>
      <c r="F63" s="12" t="inlineStr">
        <is>
          <t>https://platform.claude.com/docs/en/docs/build-with-claude/tool-use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Intermediate</t>
        </is>
      </c>
      <c r="J63" s="11" t="inlineStr">
        <is>
          <t>40 min</t>
        </is>
      </c>
      <c r="K63" s="11" t="inlineStr">
        <is>
          <t>Claude integration</t>
        </is>
      </c>
      <c r="L63" s="11" t="inlineStr">
        <is>
          <t>input_schema; tool results</t>
        </is>
      </c>
      <c r="M63" s="11" t="inlineStr">
        <is>
          <t>Modules/02-Prompt-Engineering/02-02-Structured-Outputs-Tool-Calling.md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02-02</t>
        </is>
      </c>
      <c r="C64" s="11" t="inlineStr">
        <is>
          <t>02-Prompt-Engineering</t>
        </is>
      </c>
      <c r="D64" s="11" t="n">
        <v>4</v>
      </c>
      <c r="E64" s="11" t="inlineStr">
        <is>
          <t>Gemini Function Calling</t>
        </is>
      </c>
      <c r="F64" s="12" t="inlineStr">
        <is>
          <t>https://ai.google.dev/gemini-api/docs/function-calling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Intermediate</t>
        </is>
      </c>
      <c r="J64" s="11" t="inlineStr">
        <is>
          <t>35 min</t>
        </is>
      </c>
      <c r="K64" s="11" t="inlineStr">
        <is>
          <t>Google integration</t>
        </is>
      </c>
      <c r="L64" s="11" t="inlineStr">
        <is>
          <t>functionDeclarations; parallel calls</t>
        </is>
      </c>
      <c r="M64" s="11" t="inlineStr">
        <is>
          <t>Modules/02-Prompt-Engineering/02-02-Structured-Outputs-Tool-Calling.md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02-02</t>
        </is>
      </c>
      <c r="C65" s="11" t="inlineStr">
        <is>
          <t>02-Prompt-Engineering</t>
        </is>
      </c>
      <c r="D65" s="11" t="n">
        <v>5</v>
      </c>
      <c r="E65" s="11" t="inlineStr">
        <is>
          <t>promptfoo Intro</t>
        </is>
      </c>
      <c r="F65" s="12" t="inlineStr">
        <is>
          <t>https://www.promptfoo.dev/docs/intro/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20 min</t>
        </is>
      </c>
      <c r="K65" s="11" t="inlineStr">
        <is>
          <t>Cross-provider eval</t>
        </is>
      </c>
      <c r="L65" s="11" t="inlineStr">
        <is>
          <t>Matrix testing workflow</t>
        </is>
      </c>
      <c r="M65" s="11" t="inlineStr">
        <is>
          <t>Modules/02-Prompt-Engineering/02-02-Structured-Outputs-Tool-Calling.md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02-02</t>
        </is>
      </c>
      <c r="C66" s="11" t="inlineStr">
        <is>
          <t>02-Prompt-Engineering</t>
        </is>
      </c>
      <c r="D66" s="11" t="n">
        <v>6</v>
      </c>
      <c r="E66" s="11" t="inlineStr">
        <is>
          <t>OpenAI Prompt Engineering</t>
        </is>
      </c>
      <c r="F66" s="12" t="inlineStr">
        <is>
          <t>https://developers.openai.com/api/docs/guides/prompt-engineering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Intro</t>
        </is>
      </c>
      <c r="J66" s="11" t="inlineStr">
        <is>
          <t>30 min</t>
        </is>
      </c>
      <c r="K66" s="11" t="inlineStr">
        <is>
          <t>Tool description craft</t>
        </is>
      </c>
      <c r="L66" s="11" t="inlineStr">
        <is>
          <t>Clear instructions</t>
        </is>
      </c>
      <c r="M66" s="11" t="inlineStr">
        <is>
          <t>Modules/02-Prompt-Engineering/02-02-Structured-Outputs-Tool-Calling.md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02-02</t>
        </is>
      </c>
      <c r="C67" s="11" t="inlineStr">
        <is>
          <t>02-Prompt-Engineering</t>
        </is>
      </c>
      <c r="D67" s="11" t="n">
        <v>7</v>
      </c>
      <c r="E67" s="11" t="inlineStr">
        <is>
          <t>JSON Schema Spec</t>
        </is>
      </c>
      <c r="F67" s="12" t="inlineStr">
        <is>
          <t>https://json-schema.org/learn/getting-started-step-by-step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Intermediate</t>
        </is>
      </c>
      <c r="J67" s="11" t="inlineStr">
        <is>
          <t>45 min</t>
        </is>
      </c>
      <c r="K67" s="11" t="inlineStr">
        <is>
          <t>Schema limits</t>
        </is>
      </c>
      <c r="L67" s="11" t="inlineStr">
        <is>
          <t>Types; required; enums</t>
        </is>
      </c>
      <c r="M67" s="11" t="inlineStr">
        <is>
          <t>Modules/02-Prompt-Engineering/02-02-Structured-Outputs-Tool-Calling.md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03-01</t>
        </is>
      </c>
      <c r="C68" s="11" t="inlineStr">
        <is>
          <t>03-Agentic-Fundamentals</t>
        </is>
      </c>
      <c r="D68" s="11" t="n">
        <v>1</v>
      </c>
      <c r="E68" s="11" t="inlineStr">
        <is>
          <t>LangGraph High-Level Concepts</t>
        </is>
      </c>
      <c r="F68" s="12" t="inlineStr">
        <is>
          <t>https://langchain-ai.github.io/langgraph/concepts/high_level/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Intro</t>
        </is>
      </c>
      <c r="J68" s="11" t="inlineStr">
        <is>
          <t>25 min</t>
        </is>
      </c>
      <c r="K68" s="11" t="inlineStr">
        <is>
          <t>Official mental model for graphs + persistence</t>
        </is>
      </c>
      <c r="L68" s="11" t="inlineStr">
        <is>
          <t>Benefits; state; compile</t>
        </is>
      </c>
      <c r="M68" s="11" t="inlineStr">
        <is>
          <t>Modules/03-Agentic-Fundamentals/03-01-Agent-Anatomy-and-Loop.md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03-01</t>
        </is>
      </c>
      <c r="C69" s="11" t="inlineStr">
        <is>
          <t>03-Agentic-Fundamentals</t>
        </is>
      </c>
      <c r="D69" s="11" t="n">
        <v>2</v>
      </c>
      <c r="E69" s="11" t="inlineStr">
        <is>
          <t>LangGraph Memory</t>
        </is>
      </c>
      <c r="F69" s="12" t="inlineStr">
        <is>
          <t>https://langchain-ai.github.io/langgraph/concepts/memory/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30 min</t>
        </is>
      </c>
      <c r="K69" s="11" t="inlineStr">
        <is>
          <t>Short vs long-term in graph terms</t>
        </is>
      </c>
      <c r="L69" s="11" t="inlineStr">
        <is>
          <t>Memory types; when to summarize</t>
        </is>
      </c>
      <c r="M69" s="11" t="inlineStr">
        <is>
          <t>Modules/03-Agentic-Fundamentals/03-01-Agent-Anatomy-and-Loop.md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03-01</t>
        </is>
      </c>
      <c r="C70" s="11" t="inlineStr">
        <is>
          <t>03-Agentic-Fundamentals</t>
        </is>
      </c>
      <c r="D70" s="11" t="n">
        <v>3</v>
      </c>
      <c r="E70" s="11" t="inlineStr">
        <is>
          <t>LangGraph Persistence</t>
        </is>
      </c>
      <c r="F70" s="12" t="inlineStr">
        <is>
          <t>https://langchain-ai.github.io/langgraph/concepts/persistence/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Intermediate</t>
        </is>
      </c>
      <c r="J70" s="11" t="inlineStr">
        <is>
          <t>30 min</t>
        </is>
      </c>
      <c r="K70" s="11" t="inlineStr">
        <is>
          <t>Checkpointing threads</t>
        </is>
      </c>
      <c r="L70" s="11" t="inlineStr">
        <is>
          <t>Checkpointers; thread_id</t>
        </is>
      </c>
      <c r="M70" s="11" t="inlineStr">
        <is>
          <t>Modules/03-Agentic-Fundamentals/03-01-Agent-Anatomy-and-Loop.md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03-01</t>
        </is>
      </c>
      <c r="C71" s="11" t="inlineStr">
        <is>
          <t>03-Agentic-Fundamentals</t>
        </is>
      </c>
      <c r="D71" s="11" t="n">
        <v>4</v>
      </c>
      <c r="E71" s="11" t="inlineStr">
        <is>
          <t>LangChain Tools</t>
        </is>
      </c>
      <c r="F71" s="12" t="inlineStr">
        <is>
          <t>https://python.langchain.com/docs/concepts/tools/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Intro</t>
        </is>
      </c>
      <c r="J71" s="11" t="inlineStr">
        <is>
          <t>20 min</t>
        </is>
      </c>
      <c r="K71" s="11" t="inlineStr">
        <is>
          <t>Tool contracts for Act phase</t>
        </is>
      </c>
      <c r="L71" s="11" t="inlineStr">
        <is>
          <t>Tool definition; binding</t>
        </is>
      </c>
      <c r="M71" s="11" t="inlineStr">
        <is>
          <t>Modules/03-Agentic-Fundamentals/03-01-Agent-Anatomy-and-Loop.md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03-01</t>
        </is>
      </c>
      <c r="C72" s="11" t="inlineStr">
        <is>
          <t>03-Agentic-Fundamentals</t>
        </is>
      </c>
      <c r="D72" s="11" t="n">
        <v>5</v>
      </c>
      <c r="E72" s="11" t="inlineStr">
        <is>
          <t>ReAct Paper</t>
        </is>
      </c>
      <c r="F72" s="12" t="inlineStr">
        <is>
          <t>https://arxiv.org/abs/2210.03629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Intermediate</t>
        </is>
      </c>
      <c r="J72" s="11" t="inlineStr">
        <is>
          <t>45 min</t>
        </is>
      </c>
      <c r="K72" s="11" t="inlineStr">
        <is>
          <t>Original Think-Act-Observe</t>
        </is>
      </c>
      <c r="L72" s="11" t="inlineStr">
        <is>
          <t>Figures; prompting templates</t>
        </is>
      </c>
      <c r="M72" s="11" t="inlineStr">
        <is>
          <t>Modules/03-Agentic-Fundamentals/03-01-Agent-Anatomy-and-Loop.md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03-02</t>
        </is>
      </c>
      <c r="C73" s="11" t="inlineStr">
        <is>
          <t>03-Agentic-Fundamentals</t>
        </is>
      </c>
      <c r="D73" s="11" t="n">
        <v>1</v>
      </c>
      <c r="E73" s="11" t="inlineStr">
        <is>
          <t>LangChain Tools</t>
        </is>
      </c>
      <c r="F73" s="12" t="inlineStr">
        <is>
          <t>https://python.langchain.com/docs/concepts/tools/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Intro</t>
        </is>
      </c>
      <c r="J73" s="11" t="inlineStr">
        <is>
          <t>25 min</t>
        </is>
      </c>
      <c r="K73" s="11" t="inlineStr">
        <is>
          <t>Tool definition + binding</t>
        </is>
      </c>
      <c r="L73" s="11" t="inlineStr">
        <is>
          <t>Creating tools; toolkits</t>
        </is>
      </c>
      <c r="M73" s="11" t="inlineStr">
        <is>
          <t>Modules/03-Agentic-Fundamentals/03-02-Tools-Memory-Control-Flow.md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03-02</t>
        </is>
      </c>
      <c r="C74" s="11" t="inlineStr">
        <is>
          <t>03-Agentic-Fundamentals</t>
        </is>
      </c>
      <c r="D74" s="11" t="n">
        <v>2</v>
      </c>
      <c r="E74" s="11" t="inlineStr">
        <is>
          <t>LangGraph Memory</t>
        </is>
      </c>
      <c r="F74" s="12" t="inlineStr">
        <is>
          <t>https://langchain-ai.github.io/langgraph/concepts/memory/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Intermediate</t>
        </is>
      </c>
      <c r="J74" s="11" t="inlineStr">
        <is>
          <t>35 min</t>
        </is>
      </c>
      <c r="K74" s="11" t="inlineStr">
        <is>
          <t>STM/LTM patterns</t>
        </is>
      </c>
      <c r="L74" s="11" t="inlineStr">
        <is>
          <t>Memory types; summarization</t>
        </is>
      </c>
      <c r="M74" s="11" t="inlineStr">
        <is>
          <t>Modules/03-Agentic-Fundamentals/03-02-Tools-Memory-Control-Flow.md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03-02</t>
        </is>
      </c>
      <c r="C75" s="11" t="inlineStr">
        <is>
          <t>03-Agentic-Fundamentals</t>
        </is>
      </c>
      <c r="D75" s="11" t="n">
        <v>3</v>
      </c>
      <c r="E75" s="11" t="inlineStr">
        <is>
          <t>LangGraph Persistence</t>
        </is>
      </c>
      <c r="F75" s="12" t="inlineStr">
        <is>
          <t>https://langchain-ai.github.io/langgraph/concepts/persistence/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Intermediate</t>
        </is>
      </c>
      <c r="J75" s="11" t="inlineStr">
        <is>
          <t>35 min</t>
        </is>
      </c>
      <c r="K75" s="11" t="inlineStr">
        <is>
          <t>Checkpointers deep dive</t>
        </is>
      </c>
      <c r="L75" s="11" t="inlineStr">
        <is>
          <t>Threads; interrupts</t>
        </is>
      </c>
      <c r="M75" s="11" t="inlineStr">
        <is>
          <t>Modules/03-Agentic-Fundamentals/03-02-Tools-Memory-Control-Flow.md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03-02</t>
        </is>
      </c>
      <c r="C76" s="11" t="inlineStr">
        <is>
          <t>03-Agentic-Fundamentals</t>
        </is>
      </c>
      <c r="D76" s="11" t="n">
        <v>4</v>
      </c>
      <c r="E76" s="11" t="inlineStr">
        <is>
          <t>LangGraph High-Level</t>
        </is>
      </c>
      <c r="F76" s="12" t="inlineStr">
        <is>
          <t>https://langchain-ai.github.io/langgraph/concepts/high_level/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Intro</t>
        </is>
      </c>
      <c r="J76" s="11" t="inlineStr">
        <is>
          <t>25 min</t>
        </is>
      </c>
      <c r="K76" s="11" t="inlineStr">
        <is>
          <t>Control flow primitives</t>
        </is>
      </c>
      <c r="L76" s="11" t="inlineStr">
        <is>
          <t>StateGraph; compile</t>
        </is>
      </c>
      <c r="M76" s="11" t="inlineStr">
        <is>
          <t>Modules/03-Agentic-Fundamentals/03-02-Tools-Memory-Control-Flow.md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03-02</t>
        </is>
      </c>
      <c r="C77" s="11" t="inlineStr">
        <is>
          <t>03-Agentic-Fundamentals</t>
        </is>
      </c>
      <c r="D77" s="11" t="n">
        <v>5</v>
      </c>
      <c r="E77" s="11" t="inlineStr">
        <is>
          <t>ReAct Paper</t>
        </is>
      </c>
      <c r="F77" s="12" t="inlineStr">
        <is>
          <t>https://arxiv.org/abs/2210.03629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Intermediate</t>
        </is>
      </c>
      <c r="J77" s="11" t="inlineStr">
        <is>
          <t>45 min</t>
        </is>
      </c>
      <c r="K77" s="11" t="inlineStr">
        <is>
          <t>Why observations matter</t>
        </is>
      </c>
      <c r="L77" s="11" t="inlineStr">
        <is>
          <t>Action-observation cycles</t>
        </is>
      </c>
      <c r="M77" s="11" t="inlineStr">
        <is>
          <t>Modules/03-Agentic-Fundamentals/03-02-Tools-Memory-Control-Flow.md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03-03</t>
        </is>
      </c>
      <c r="C78" s="11" t="inlineStr">
        <is>
          <t>03-Agentic-Fundamentals</t>
        </is>
      </c>
      <c r="D78" s="11" t="n">
        <v>1</v>
      </c>
      <c r="E78" s="11" t="inlineStr">
        <is>
          <t>LangGraph High Level</t>
        </is>
      </c>
      <c r="F78" s="12" t="inlineStr">
        <is>
          <t>https://langchain-ai.github.io/langgraph/concepts/high_level/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Intro</t>
        </is>
      </c>
      <c r="J78" s="11" t="inlineStr">
        <is>
          <t>25 min</t>
        </is>
      </c>
      <c r="K78" s="11" t="inlineStr">
        <is>
          <t>Persistence + HITL foundation for patterns</t>
        </is>
      </c>
      <c r="L78" s="11" t="inlineStr">
        <is>
          <t>Benefits; state; checkpointers</t>
        </is>
      </c>
      <c r="M78" s="11" t="inlineStr">
        <is>
          <t>Modules/03-Agentic-Fundamentals/03-03-Agentic-Design-Patterns.md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03-03</t>
        </is>
      </c>
      <c r="C79" s="11" t="inlineStr">
        <is>
          <t>03-Agentic-Fundamentals</t>
        </is>
      </c>
      <c r="D79" s="11" t="n">
        <v>2</v>
      </c>
      <c r="E79" s="11" t="inlineStr">
        <is>
          <t>LangGraph Human-in-the-Loop</t>
        </is>
      </c>
      <c r="F79" s="12" t="inlineStr">
        <is>
          <t>https://langchain-ai.github.io/langgraph/concepts/human_in_the_loop/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Intermediate</t>
        </is>
      </c>
      <c r="J79" s="11" t="inlineStr">
        <is>
          <t>30 min</t>
        </is>
      </c>
      <c r="K79" s="11" t="inlineStr">
        <is>
          <t>Interrupt/resume semantics</t>
        </is>
      </c>
      <c r="L79" s="11" t="inlineStr">
        <is>
          <t>Breakpoints; approve/edit</t>
        </is>
      </c>
      <c r="M79" s="11" t="inlineStr">
        <is>
          <t>Modules/03-Agentic-Fundamentals/03-03-Agentic-Design-Patterns.md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03-03</t>
        </is>
      </c>
      <c r="C80" s="11" t="inlineStr">
        <is>
          <t>03-Agentic-Fundamentals</t>
        </is>
      </c>
      <c r="D80" s="11" t="n">
        <v>3</v>
      </c>
      <c r="E80" s="11" t="inlineStr">
        <is>
          <t>ReAct Paper</t>
        </is>
      </c>
      <c r="F80" s="12" t="inlineStr">
        <is>
          <t>https://arxiv.org/abs/2210.03629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Intermediate</t>
        </is>
      </c>
      <c r="J80" s="11" t="inlineStr">
        <is>
          <t>45 min</t>
        </is>
      </c>
      <c r="K80" s="11" t="inlineStr">
        <is>
          <t>Original Think-Act-Observe</t>
        </is>
      </c>
      <c r="L80" s="11" t="inlineStr">
        <is>
          <t>Examples; synergy</t>
        </is>
      </c>
      <c r="M80" s="11" t="inlineStr">
        <is>
          <t>Modules/03-Agentic-Fundamentals/03-03-Agentic-Design-Patterns.md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03-03</t>
        </is>
      </c>
      <c r="C81" s="11" t="inlineStr">
        <is>
          <t>03-Agentic-Fundamentals</t>
        </is>
      </c>
      <c r="D81" s="11" t="n">
        <v>4</v>
      </c>
      <c r="E81" s="11" t="inlineStr">
        <is>
          <t>LangSmith</t>
        </is>
      </c>
      <c r="F81" s="12" t="inlineStr">
        <is>
          <t>https://docs.langchain.com/langsmith/home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Intro</t>
        </is>
      </c>
      <c r="J81" s="11" t="inlineStr">
        <is>
          <t>20 min</t>
        </is>
      </c>
      <c r="K81" s="11" t="inlineStr">
        <is>
          <t>Trace routes and tool loops</t>
        </is>
      </c>
      <c r="L81" s="11" t="inlineStr">
        <is>
          <t>Projects; runs; feedback</t>
        </is>
      </c>
      <c r="M81" s="11" t="inlineStr">
        <is>
          <t>Modules/03-Agentic-Fundamentals/03-03-Agentic-Design-Patterns.md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03-04</t>
        </is>
      </c>
      <c r="C82" s="11" t="inlineStr">
        <is>
          <t>03-Agentic-Fundamentals</t>
        </is>
      </c>
      <c r="D82" s="11" t="n">
        <v>1</v>
      </c>
      <c r="E82" s="11" t="inlineStr">
        <is>
          <t>LangGraph High Level</t>
        </is>
      </c>
      <c r="F82" s="12" t="inlineStr">
        <is>
          <t>https://langchain-ai.github.io/langgraph/concepts/high_level/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Intro</t>
        </is>
      </c>
      <c r="J82" s="11" t="inlineStr">
        <is>
          <t>25 min</t>
        </is>
      </c>
      <c r="K82" s="11" t="inlineStr">
        <is>
          <t>Runtime mental model</t>
        </is>
      </c>
      <c r="L82" s="11" t="inlineStr">
        <is>
          <t>Persistence; compile</t>
        </is>
      </c>
      <c r="M82" s="11" t="inlineStr">
        <is>
          <t>Modules/03-Agentic-Fundamentals/03-04-LangGraph-Production-Agents.md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03-04</t>
        </is>
      </c>
      <c r="C83" s="11" t="inlineStr">
        <is>
          <t>03-Agentic-Fundamentals</t>
        </is>
      </c>
      <c r="D83" s="11" t="n">
        <v>2</v>
      </c>
      <c r="E83" s="11" t="inlineStr">
        <is>
          <t>Human-in-the-Loop</t>
        </is>
      </c>
      <c r="F83" s="12" t="inlineStr">
        <is>
          <t>https://langchain-ai.github.io/langgraph/concepts/human_in_the_loop/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35 min</t>
        </is>
      </c>
      <c r="K83" s="11" t="inlineStr">
        <is>
          <t>Interrupt/resume</t>
        </is>
      </c>
      <c r="L83" s="11" t="inlineStr">
        <is>
          <t>Breakpoints; Command</t>
        </is>
      </c>
      <c r="M83" s="11" t="inlineStr">
        <is>
          <t>Modules/03-Agentic-Fundamentals/03-04-LangGraph-Production-Agents.md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03-04</t>
        </is>
      </c>
      <c r="C84" s="11" t="inlineStr">
        <is>
          <t>03-Agentic-Fundamentals</t>
        </is>
      </c>
      <c r="D84" s="11" t="n">
        <v>3</v>
      </c>
      <c r="E84" s="11" t="inlineStr">
        <is>
          <t>Streaming</t>
        </is>
      </c>
      <c r="F84" s="12" t="inlineStr">
        <is>
          <t>https://langchain-ai.github.io/langgraph/concepts/streaming/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Intermediate</t>
        </is>
      </c>
      <c r="J84" s="11" t="inlineStr">
        <is>
          <t>30 min</t>
        </is>
      </c>
      <c r="K84" s="11" t="inlineStr">
        <is>
          <t>UX + debugging</t>
        </is>
      </c>
      <c r="L84" s="11" t="inlineStr">
        <is>
          <t>stream_mode options</t>
        </is>
      </c>
      <c r="M84" s="11" t="inlineStr">
        <is>
          <t>Modules/03-Agentic-Fundamentals/03-04-LangGraph-Production-Agents.md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03-04</t>
        </is>
      </c>
      <c r="C85" s="11" t="inlineStr">
        <is>
          <t>03-Agentic-Fundamentals</t>
        </is>
      </c>
      <c r="D85" s="11" t="n">
        <v>4</v>
      </c>
      <c r="E85" s="11" t="inlineStr">
        <is>
          <t>Multi-Agent</t>
        </is>
      </c>
      <c r="F85" s="12" t="inlineStr">
        <is>
          <t>https://langchain-ai.github.io/langgraph/concepts/multi_agent/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Advanced</t>
        </is>
      </c>
      <c r="J85" s="11" t="inlineStr">
        <is>
          <t>40 min</t>
        </is>
      </c>
      <c r="K85" s="11" t="inlineStr">
        <is>
          <t>When to split graphs</t>
        </is>
      </c>
      <c r="L85" s="11" t="inlineStr">
        <is>
          <t>Supervisor; handoffs</t>
        </is>
      </c>
      <c r="M85" s="11" t="inlineStr">
        <is>
          <t>Modules/03-Agentic-Fundamentals/03-04-LangGraph-Production-Agents.md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03-04</t>
        </is>
      </c>
      <c r="C86" s="11" t="inlineStr">
        <is>
          <t>03-Agentic-Fundamentals</t>
        </is>
      </c>
      <c r="D86" s="11" t="n">
        <v>5</v>
      </c>
      <c r="E86" s="11" t="inlineStr">
        <is>
          <t>LangSmith</t>
        </is>
      </c>
      <c r="F86" s="12" t="inlineStr">
        <is>
          <t>https://docs.langchain.com/langsmith/home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Intro</t>
        </is>
      </c>
      <c r="J86" s="11" t="inlineStr">
        <is>
          <t>25 min</t>
        </is>
      </c>
      <c r="K86" s="11" t="inlineStr">
        <is>
          <t>Trace production graphs</t>
        </is>
      </c>
      <c r="L86" s="11" t="inlineStr">
        <is>
          <t>Projects; evaluations</t>
        </is>
      </c>
      <c r="M86" s="11" t="inlineStr">
        <is>
          <t>Modules/03-Agentic-Fundamentals/03-04-LangGraph-Production-Agents.md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04-01</t>
        </is>
      </c>
      <c r="C87" s="11" t="inlineStr">
        <is>
          <t>04-RAG</t>
        </is>
      </c>
      <c r="D87" s="11" t="n">
        <v>1</v>
      </c>
      <c r="E87" s="11" t="inlineStr">
        <is>
          <t>Retrieval-Augmented Generation for Knowledge-Intensive NLP Tasks</t>
        </is>
      </c>
      <c r="F87" s="12" t="inlineStr">
        <is>
          <t>https://arxiv.org/abs/2005.11401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Intermediate</t>
        </is>
      </c>
      <c r="J87" s="11" t="inlineStr">
        <is>
          <t>45–60 min</t>
        </is>
      </c>
      <c r="K87" s="11" t="inlineStr">
        <is>
          <t>Foundational RAG paper</t>
        </is>
      </c>
      <c r="L87" s="11" t="inlineStr">
        <is>
          <t>Architecture; retriever + generator</t>
        </is>
      </c>
      <c r="M87" s="11" t="inlineStr">
        <is>
          <t>Modules/04-RAG/04-01-RAG-Architecture.md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04-01</t>
        </is>
      </c>
      <c r="C88" s="11" t="inlineStr">
        <is>
          <t>04-RAG</t>
        </is>
      </c>
      <c r="D88" s="11" t="n">
        <v>2</v>
      </c>
      <c r="E88" s="11" t="inlineStr">
        <is>
          <t>LlamaIndex Documentation</t>
        </is>
      </c>
      <c r="F88" s="12" t="inlineStr">
        <is>
          <t>https://docs.llamaindex.ai/en/stable/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Intro</t>
        </is>
      </c>
      <c r="J88" s="11" t="inlineStr">
        <is>
          <t>30 min</t>
        </is>
      </c>
      <c r="K88" s="11" t="inlineStr">
        <is>
          <t>Framework used in labs</t>
        </is>
      </c>
      <c r="L88" s="11" t="inlineStr">
        <is>
          <t>Indexing; querying; agents</t>
        </is>
      </c>
      <c r="M88" s="11" t="inlineStr">
        <is>
          <t>Modules/04-RAG/04-01-RAG-Architecture.md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04-01</t>
        </is>
      </c>
      <c r="C89" s="11" t="inlineStr">
        <is>
          <t>04-RAG</t>
        </is>
      </c>
      <c r="D89" s="11" t="n">
        <v>3</v>
      </c>
      <c r="E89" s="11" t="inlineStr">
        <is>
          <t>LangChain RAG Concept</t>
        </is>
      </c>
      <c r="F89" s="12" t="inlineStr">
        <is>
          <t>https://python.langchain.com/docs/concepts/rag/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Intro</t>
        </is>
      </c>
      <c r="J89" s="11" t="inlineStr">
        <is>
          <t>25 min</t>
        </is>
      </c>
      <c r="K89" s="11" t="inlineStr">
        <is>
          <t>Alternate mental model</t>
        </is>
      </c>
      <c r="L89" s="11" t="inlineStr">
        <is>
          <t>Indexing pipeline; retrieval</t>
        </is>
      </c>
      <c r="M89" s="11" t="inlineStr">
        <is>
          <t>Modules/04-RAG/04-01-RAG-Architecture.md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04-01</t>
        </is>
      </c>
      <c r="C90" s="11" t="inlineStr">
        <is>
          <t>04-RAG</t>
        </is>
      </c>
      <c r="D90" s="11" t="n">
        <v>4</v>
      </c>
      <c r="E90" s="11" t="inlineStr">
        <is>
          <t>Pinecone Getting Started</t>
        </is>
      </c>
      <c r="F90" s="12" t="inlineStr">
        <is>
          <t>https://docs.pinecone.io/guides/get-started/overview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Intro</t>
        </is>
      </c>
      <c r="J90" s="11" t="inlineStr">
        <is>
          <t>20 min</t>
        </is>
      </c>
      <c r="K90" s="11" t="inlineStr">
        <is>
          <t>Managed vector index concepts</t>
        </is>
      </c>
      <c r="L90" s="11" t="inlineStr">
        <is>
          <t>Indexes; namespaces; metadata</t>
        </is>
      </c>
      <c r="M90" s="11" t="inlineStr">
        <is>
          <t>Modules/04-RAG/04-01-RAG-Architecture.md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04-01</t>
        </is>
      </c>
      <c r="C91" s="11" t="inlineStr">
        <is>
          <t>04-RAG</t>
        </is>
      </c>
      <c r="D91" s="11" t="n">
        <v>5</v>
      </c>
      <c r="E91" s="11" t="inlineStr">
        <is>
          <t>Cohere Rerank Overview</t>
        </is>
      </c>
      <c r="F91" s="12" t="inlineStr">
        <is>
          <t>https://docs.cohere.com/docs/rerank-overview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Intro</t>
        </is>
      </c>
      <c r="J91" s="11" t="inlineStr">
        <is>
          <t>15 min</t>
        </is>
      </c>
      <c r="K91" s="11" t="inlineStr">
        <is>
          <t>Precision layer preview for 04-03</t>
        </is>
      </c>
      <c r="L91" s="11" t="inlineStr">
        <is>
          <t>When to rerank</t>
        </is>
      </c>
      <c r="M91" s="11" t="inlineStr">
        <is>
          <t>Modules/04-RAG/04-01-RAG-Architecture.md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04-01</t>
        </is>
      </c>
      <c r="C92" s="11" t="inlineStr">
        <is>
          <t>04-RAG</t>
        </is>
      </c>
      <c r="D92" s="11" t="n">
        <v>6</v>
      </c>
      <c r="E92" s="11" t="inlineStr">
        <is>
          <t>Microsoft GraphRAG</t>
        </is>
      </c>
      <c r="F92" s="12" t="inlineStr">
        <is>
          <t>https://microsoft.github.io/graphrag/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Advanced</t>
        </is>
      </c>
      <c r="J92" s="11" t="inlineStr">
        <is>
          <t>45 min</t>
        </is>
      </c>
      <c r="K92" s="11" t="inlineStr">
        <is>
          <t>Preview advanced grounding (04-04)</t>
        </is>
      </c>
      <c r="L92" s="11" t="inlineStr">
        <is>
          <t>Indexing graphs; global search</t>
        </is>
      </c>
      <c r="M92" s="11" t="inlineStr">
        <is>
          <t>Modules/04-RAG/04-01-RAG-Architecture.md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04-02</t>
        </is>
      </c>
      <c r="C93" s="11" t="inlineStr">
        <is>
          <t>04-RAG</t>
        </is>
      </c>
      <c r="D93" s="11" t="n">
        <v>1</v>
      </c>
      <c r="E93" s="11" t="inlineStr">
        <is>
          <t>Retrieval-Augmented Generation (RAG)</t>
        </is>
      </c>
      <c r="F93" s="12" t="inlineStr">
        <is>
          <t>https://arxiv.org/abs/2005.11401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Intermediate</t>
        </is>
      </c>
      <c r="J93" s="11" t="inlineStr">
        <is>
          <t>45 min</t>
        </is>
      </c>
      <c r="K93" s="11" t="inlineStr">
        <is>
          <t>Original retrieve-then-generate framing</t>
        </is>
      </c>
      <c r="L93" s="11" t="inlineStr">
        <is>
          <t>Retriever design motivation</t>
        </is>
      </c>
      <c r="M93" s="11" t="inlineStr">
        <is>
          <t>Modules/04-RAG/04-02-Chunking-Metadata-Embeddings.md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04-02</t>
        </is>
      </c>
      <c r="C94" s="11" t="inlineStr">
        <is>
          <t>04-RAG</t>
        </is>
      </c>
      <c r="D94" s="11" t="n">
        <v>2</v>
      </c>
      <c r="E94" s="11" t="inlineStr">
        <is>
          <t>LlamaIndex — Node Parser / Chunking</t>
        </is>
      </c>
      <c r="F94" s="12" t="inlineStr">
        <is>
          <t>https://docs.llamaindex.ai/en/stable/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30 min</t>
        </is>
      </c>
      <c r="K94" s="11" t="inlineStr">
        <is>
          <t>Chunking APIs and patterns</t>
        </is>
      </c>
      <c r="L94" s="11" t="inlineStr">
        <is>
          <t>Text splitters; metadata</t>
        </is>
      </c>
      <c r="M94" s="11" t="inlineStr">
        <is>
          <t>Modules/04-RAG/04-02-Chunking-Metadata-Embeddings.md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04-02</t>
        </is>
      </c>
      <c r="C95" s="11" t="inlineStr">
        <is>
          <t>04-RAG</t>
        </is>
      </c>
      <c r="D95" s="11" t="n">
        <v>3</v>
      </c>
      <c r="E95" s="11" t="inlineStr">
        <is>
          <t>LangChain RAG Concept</t>
        </is>
      </c>
      <c r="F95" s="12" t="inlineStr">
        <is>
          <t>https://python.langchain.com/docs/concepts/rag/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Intro</t>
        </is>
      </c>
      <c r="J95" s="11" t="inlineStr">
        <is>
          <t>25 min</t>
        </is>
      </c>
      <c r="K95" s="11" t="inlineStr">
        <is>
          <t>Document loaders + splitters</t>
        </is>
      </c>
      <c r="L95" s="11" t="inlineStr">
        <is>
          <t>Indexing steps</t>
        </is>
      </c>
      <c r="M95" s="11" t="inlineStr">
        <is>
          <t>Modules/04-RAG/04-02-Chunking-Metadata-Embeddings.md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04-02</t>
        </is>
      </c>
      <c r="C96" s="11" t="inlineStr">
        <is>
          <t>04-RAG</t>
        </is>
      </c>
      <c r="D96" s="11" t="n">
        <v>4</v>
      </c>
      <c r="E96" s="11" t="inlineStr">
        <is>
          <t>Pinecone — Metadata Filtering</t>
        </is>
      </c>
      <c r="F96" s="12" t="inlineStr">
        <is>
          <t>https://docs.pinecone.io/guides/get-started/overview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20 min</t>
        </is>
      </c>
      <c r="K96" s="11" t="inlineStr">
        <is>
          <t>Why metadata matters at query time</t>
        </is>
      </c>
      <c r="L96" s="11" t="inlineStr">
        <is>
          <t>Metadata; namespaces</t>
        </is>
      </c>
      <c r="M96" s="11" t="inlineStr">
        <is>
          <t>Modules/04-RAG/04-02-Chunking-Metadata-Embeddings.md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04-02</t>
        </is>
      </c>
      <c r="C97" s="11" t="inlineStr">
        <is>
          <t>04-RAG</t>
        </is>
      </c>
      <c r="D97" s="11" t="n">
        <v>5</v>
      </c>
      <c r="E97" s="11" t="inlineStr">
        <is>
          <t>Cohere Rerank Overview</t>
        </is>
      </c>
      <c r="F97" s="12" t="inlineStr">
        <is>
          <t>https://docs.cohere.com/docs/rerank-overview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Intro</t>
        </is>
      </c>
      <c r="J97" s="11" t="inlineStr">
        <is>
          <t>15 min</t>
        </is>
      </c>
      <c r="K97" s="11" t="inlineStr">
        <is>
          <t>Precision after chunk retrieval</t>
        </is>
      </c>
      <c r="L97" s="11" t="inlineStr">
        <is>
          <t>Rerank role</t>
        </is>
      </c>
      <c r="M97" s="11" t="inlineStr">
        <is>
          <t>Modules/04-RAG/04-02-Chunking-Metadata-Embeddings.md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04-02</t>
        </is>
      </c>
      <c r="C98" s="11" t="inlineStr">
        <is>
          <t>04-RAG</t>
        </is>
      </c>
      <c r="D98" s="11" t="n">
        <v>6</v>
      </c>
      <c r="E98" s="11" t="inlineStr">
        <is>
          <t>Microsoft GraphRAG</t>
        </is>
      </c>
      <c r="F98" s="12" t="inlineStr">
        <is>
          <t>https://microsoft.github.io/graphrag/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Advanced</t>
        </is>
      </c>
      <c r="J98" s="11" t="inlineStr">
        <is>
          <t>45 min</t>
        </is>
      </c>
      <c r="K98" s="11" t="inlineStr">
        <is>
          <t>Beyond flat chunks (04-04)</t>
        </is>
      </c>
      <c r="L98" s="11" t="inlineStr">
        <is>
          <t>Indexing pipeline</t>
        </is>
      </c>
      <c r="M98" s="11" t="inlineStr">
        <is>
          <t>Modules/04-RAG/04-02-Chunking-Metadata-Embeddings.md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04-03</t>
        </is>
      </c>
      <c r="C99" s="11" t="inlineStr">
        <is>
          <t>04-RAG</t>
        </is>
      </c>
      <c r="D99" s="11" t="n">
        <v>1</v>
      </c>
      <c r="E99" s="11" t="inlineStr">
        <is>
          <t>RAG Paper</t>
        </is>
      </c>
      <c r="F99" s="12" t="inlineStr">
        <is>
          <t>https://arxiv.org/abs/2005.11401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Intermediate</t>
        </is>
      </c>
      <c r="J99" s="11" t="inlineStr">
        <is>
          <t>45 min</t>
        </is>
      </c>
      <c r="K99" s="11" t="inlineStr">
        <is>
          <t>Retriever quality drives generation</t>
        </is>
      </c>
      <c r="L99" s="11" t="inlineStr">
        <is>
          <t>Retrieval component</t>
        </is>
      </c>
      <c r="M99" s="11" t="inlineStr">
        <is>
          <t>Modules/04-RAG/04-03-Vector-DB-Hybrid-Search-Reranking.md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04-03</t>
        </is>
      </c>
      <c r="C100" s="11" t="inlineStr">
        <is>
          <t>04-RAG</t>
        </is>
      </c>
      <c r="D100" s="11" t="n">
        <v>2</v>
      </c>
      <c r="E100" s="11" t="inlineStr">
        <is>
          <t>LlamaIndex — Vector Stores</t>
        </is>
      </c>
      <c r="F100" s="12" t="inlineStr">
        <is>
          <t>https://docs.llamaindex.ai/en/stable/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Intro</t>
        </is>
      </c>
      <c r="J100" s="11" t="inlineStr">
        <is>
          <t>30 min</t>
        </is>
      </c>
      <c r="K100" s="11" t="inlineStr">
        <is>
          <t>Integrations including Pinecone</t>
        </is>
      </c>
      <c r="L100" s="11" t="inlineStr">
        <is>
          <t>Vector store index</t>
        </is>
      </c>
      <c r="M100" s="11" t="inlineStr">
        <is>
          <t>Modules/04-RAG/04-03-Vector-DB-Hybrid-Search-Reranking.md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04-03</t>
        </is>
      </c>
      <c r="C101" s="11" t="inlineStr">
        <is>
          <t>04-RAG</t>
        </is>
      </c>
      <c r="D101" s="11" t="n">
        <v>3</v>
      </c>
      <c r="E101" s="11" t="inlineStr">
        <is>
          <t>LangChain RAG</t>
        </is>
      </c>
      <c r="F101" s="12" t="inlineStr">
        <is>
          <t>https://python.langchain.com/docs/concepts/rag/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Retriever + document chain</t>
        </is>
      </c>
      <c r="L101" s="11" t="inlineStr">
        <is>
          <t>Retrieval</t>
        </is>
      </c>
      <c r="M101" s="11" t="inlineStr">
        <is>
          <t>Modules/04-RAG/04-03-Vector-DB-Hybrid-Search-Reranking.md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04-03</t>
        </is>
      </c>
      <c r="C102" s="11" t="inlineStr">
        <is>
          <t>04-RAG</t>
        </is>
      </c>
      <c r="D102" s="11" t="n">
        <v>4</v>
      </c>
      <c r="E102" s="11" t="inlineStr">
        <is>
          <t>Pinecone Overview</t>
        </is>
      </c>
      <c r="F102" s="12" t="inlineStr">
        <is>
          <t>https://docs.pinecone.io/guides/get-started/overview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Intro</t>
        </is>
      </c>
      <c r="J102" s="11" t="inlineStr">
        <is>
          <t>25 min</t>
        </is>
      </c>
      <c r="K102" s="11" t="inlineStr">
        <is>
          <t>Indexes, metadata, query</t>
        </is>
      </c>
      <c r="L102" s="11" t="inlineStr">
        <is>
          <t>Core concepts</t>
        </is>
      </c>
      <c r="M102" s="11" t="inlineStr">
        <is>
          <t>Modules/04-RAG/04-03-Vector-DB-Hybrid-Search-Reranking.md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04-03</t>
        </is>
      </c>
      <c r="C103" s="11" t="inlineStr">
        <is>
          <t>04-RAG</t>
        </is>
      </c>
      <c r="D103" s="11" t="n">
        <v>5</v>
      </c>
      <c r="E103" s="11" t="inlineStr">
        <is>
          <t>Cohere Rerank</t>
        </is>
      </c>
      <c r="F103" s="12" t="inlineStr">
        <is>
          <t>https://docs.cohere.com/docs/rerank-overview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Intro</t>
        </is>
      </c>
      <c r="J103" s="11" t="inlineStr">
        <is>
          <t>20 min</t>
        </is>
      </c>
      <c r="K103" s="11" t="inlineStr">
        <is>
          <t>Rerank API and use cases</t>
        </is>
      </c>
      <c r="L103" s="11" t="inlineStr">
        <is>
          <t>How rerank works</t>
        </is>
      </c>
      <c r="M103" s="11" t="inlineStr">
        <is>
          <t>Modules/04-RAG/04-03-Vector-DB-Hybrid-Search-Reranking.md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04-03</t>
        </is>
      </c>
      <c r="C104" s="11" t="inlineStr">
        <is>
          <t>04-RAG</t>
        </is>
      </c>
      <c r="D104" s="11" t="n">
        <v>6</v>
      </c>
      <c r="E104" s="11" t="inlineStr">
        <is>
          <t>Microsoft GraphRAG</t>
        </is>
      </c>
      <c r="F104" s="12" t="inlineStr">
        <is>
          <t>https://microsoft.github.io/graphrag/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Advanced</t>
        </is>
      </c>
      <c r="J104" s="11" t="inlineStr">
        <is>
          <t>45 min</t>
        </is>
      </c>
      <c r="K104" s="11" t="inlineStr">
        <is>
          <t>Graph-based retrieval alternative</t>
        </is>
      </c>
      <c r="L104" s="11" t="inlineStr">
        <is>
          <t>Query modes</t>
        </is>
      </c>
      <c r="M104" s="11" t="inlineStr">
        <is>
          <t>Modules/04-RAG/04-03-Vector-DB-Hybrid-Search-Reranking.md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04-04</t>
        </is>
      </c>
      <c r="C105" s="11" t="inlineStr">
        <is>
          <t>04-RAG</t>
        </is>
      </c>
      <c r="D105" s="11" t="n">
        <v>1</v>
      </c>
      <c r="E105" s="11" t="inlineStr">
        <is>
          <t>RAG Paper</t>
        </is>
      </c>
      <c r="F105" s="12" t="inlineStr">
        <is>
          <t>https://arxiv.org/abs/2005.11401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Intermediate</t>
        </is>
      </c>
      <c r="J105" s="11" t="inlineStr">
        <is>
          <t>45 min</t>
        </is>
      </c>
      <c r="K105" s="11" t="inlineStr">
        <is>
          <t>Baseline to compare against</t>
        </is>
      </c>
      <c r="L105" s="11" t="inlineStr">
        <is>
          <t>Full pipeline</t>
        </is>
      </c>
      <c r="M105" s="11" t="inlineStr">
        <is>
          <t>Modules/04-RAG/04-04-Advanced-RAG-HyDE-GraphRAG.md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04-04</t>
        </is>
      </c>
      <c r="C106" s="11" t="inlineStr">
        <is>
          <t>04-RAG</t>
        </is>
      </c>
      <c r="D106" s="11" t="n">
        <v>2</v>
      </c>
      <c r="E106" s="11" t="inlineStr">
        <is>
          <t>LlamaIndex Docs</t>
        </is>
      </c>
      <c r="F106" s="12" t="inlineStr">
        <is>
          <t>https://docs.llamaindex.ai/en/stable/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Intro–Advanced</t>
        </is>
      </c>
      <c r="J106" s="11" t="inlineStr">
        <is>
          <t>45 min</t>
        </is>
      </c>
      <c r="K106" s="11" t="inlineStr">
        <is>
          <t>Agentic query engines</t>
        </is>
      </c>
      <c r="L106" s="11" t="inlineStr">
        <is>
          <t>Agents; query pipelines</t>
        </is>
      </c>
      <c r="M106" s="11" t="inlineStr">
        <is>
          <t>Modules/04-RAG/04-04-Advanced-RAG-HyDE-GraphRAG.md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04-04</t>
        </is>
      </c>
      <c r="C107" s="11" t="inlineStr">
        <is>
          <t>04-RAG</t>
        </is>
      </c>
      <c r="D107" s="11" t="n">
        <v>3</v>
      </c>
      <c r="E107" s="11" t="inlineStr">
        <is>
          <t>LangChain RAG</t>
        </is>
      </c>
      <c r="F107" s="12" t="inlineStr">
        <is>
          <t>https://python.langchain.com/docs/concepts/rag/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Intro</t>
        </is>
      </c>
      <c r="J107" s="11" t="inlineStr">
        <is>
          <t>25 min</t>
        </is>
      </c>
      <c r="K107" s="11" t="inlineStr">
        <is>
          <t>Multi-query / advanced retrievers</t>
        </is>
      </c>
      <c r="L107" s="11" t="inlineStr">
        <is>
          <t>Advanced patterns</t>
        </is>
      </c>
      <c r="M107" s="11" t="inlineStr">
        <is>
          <t>Modules/04-RAG/04-04-Advanced-RAG-HyDE-GraphRAG.md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04-04</t>
        </is>
      </c>
      <c r="C108" s="11" t="inlineStr">
        <is>
          <t>04-RAG</t>
        </is>
      </c>
      <c r="D108" s="11" t="n">
        <v>4</v>
      </c>
      <c r="E108" s="11" t="inlineStr">
        <is>
          <t>Pinecone Overview</t>
        </is>
      </c>
      <c r="F108" s="12" t="inlineStr">
        <is>
          <t>https://docs.pinecone.io/guides/get-started/overview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Intro</t>
        </is>
      </c>
      <c r="J108" s="11" t="inlineStr">
        <is>
          <t>20 min</t>
        </is>
      </c>
      <c r="K108" s="11" t="inlineStr">
        <is>
          <t>Vector foundation for all modes</t>
        </is>
      </c>
      <c r="L108" s="11" t="inlineStr">
        <is>
          <t>Query concepts</t>
        </is>
      </c>
      <c r="M108" s="11" t="inlineStr">
        <is>
          <t>Modules/04-RAG/04-04-Advanced-RAG-HyDE-GraphRAG.md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04-04</t>
        </is>
      </c>
      <c r="C109" s="11" t="inlineStr">
        <is>
          <t>04-RAG</t>
        </is>
      </c>
      <c r="D109" s="11" t="n">
        <v>5</v>
      </c>
      <c r="E109" s="11" t="inlineStr">
        <is>
          <t>Cohere Rerank</t>
        </is>
      </c>
      <c r="F109" s="12" t="inlineStr">
        <is>
          <t>https://docs.cohere.com/docs/rerank-overview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Intro</t>
        </is>
      </c>
      <c r="J109" s="11" t="inlineStr">
        <is>
          <t>15 min</t>
        </is>
      </c>
      <c r="K109" s="11" t="inlineStr">
        <is>
          <t>Post-retrieval merge quality</t>
        </is>
      </c>
      <c r="L109" s="11" t="inlineStr">
        <is>
          <t>API usage</t>
        </is>
      </c>
      <c r="M109" s="11" t="inlineStr">
        <is>
          <t>Modules/04-RAG/04-04-Advanced-RAG-HyDE-GraphRAG.md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04-04</t>
        </is>
      </c>
      <c r="C110" s="11" t="inlineStr">
        <is>
          <t>04-RAG</t>
        </is>
      </c>
      <c r="D110" s="11" t="n">
        <v>6</v>
      </c>
      <c r="E110" s="11" t="inlineStr">
        <is>
          <t>Microsoft GraphRAG</t>
        </is>
      </c>
      <c r="F110" s="12" t="inlineStr">
        <is>
          <t>https://microsoft.github.io/graphrag/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Advanced</t>
        </is>
      </c>
      <c r="J110" s="11" t="inlineStr">
        <is>
          <t>60 min</t>
        </is>
      </c>
      <c r="K110" s="11" t="inlineStr">
        <is>
          <t>Graph indexing + query modes</t>
        </is>
      </c>
      <c r="L110" s="11" t="inlineStr">
        <is>
          <t>Indexing; local/global search</t>
        </is>
      </c>
      <c r="M110" s="11" t="inlineStr">
        <is>
          <t>Modules/04-RAG/04-04-Advanced-RAG-HyDE-GraphRAG.md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05-01</t>
        </is>
      </c>
      <c r="C111" s="11" t="inlineStr">
        <is>
          <t>05-Multi-Agent</t>
        </is>
      </c>
      <c r="D111" s="11" t="n">
        <v>1</v>
      </c>
      <c r="E111" s="11" t="inlineStr">
        <is>
          <t>LangGraph Multi-Agent Concepts</t>
        </is>
      </c>
      <c r="F111" s="12" t="inlineStr">
        <is>
          <t>https://langchain-ai.github.io/langgraph/concepts/multi_agent/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Intermediate</t>
        </is>
      </c>
      <c r="J111" s="11" t="inlineStr">
        <is>
          <t>45 min</t>
        </is>
      </c>
      <c r="K111" s="11" t="inlineStr">
        <is>
          <t>Canonical orchestration primitives</t>
        </is>
      </c>
      <c r="L111" s="11" t="inlineStr">
        <is>
          <t>State; handoffs; supervisor patterns</t>
        </is>
      </c>
      <c r="M111" s="11" t="inlineStr">
        <is>
          <t>Modules/05-Multi-Agent/05-01-Multi-Agent-Orchestration.md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05-01</t>
        </is>
      </c>
      <c r="C112" s="11" t="inlineStr">
        <is>
          <t>05-Multi-Agent</t>
        </is>
      </c>
      <c r="D112" s="11" t="n">
        <v>2</v>
      </c>
      <c r="E112" s="11" t="inlineStr">
        <is>
          <t>LangGraph Graph API</t>
        </is>
      </c>
      <c r="F112" s="12" t="inlineStr">
        <is>
          <t>https://langchain-ai.github.io/langgraph/concepts/low_level/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60 min</t>
        </is>
      </c>
      <c r="K112" s="11" t="inlineStr">
        <is>
          <t>Checkpoints, Command, reducers</t>
        </is>
      </c>
      <c r="L112" s="11" t="inlineStr">
        <is>
          <t>StateGraph; Command; recursion limit</t>
        </is>
      </c>
      <c r="M112" s="11" t="inlineStr">
        <is>
          <t>Modules/05-Multi-Agent/05-01-Multi-Agent-Orchestration.md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05-01</t>
        </is>
      </c>
      <c r="C113" s="11" t="inlineStr">
        <is>
          <t>05-Multi-Agent</t>
        </is>
      </c>
      <c r="D113" s="11" t="n">
        <v>3</v>
      </c>
      <c r="E113" s="11" t="inlineStr">
        <is>
          <t>AutoGen Framework</t>
        </is>
      </c>
      <c r="F113" s="12" t="inlineStr">
        <is>
          <t>https://microsoft.github.io/autogen/stable//index.html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Intermediate</t>
        </is>
      </c>
      <c r="J113" s="11" t="inlineStr">
        <is>
          <t>30 min</t>
        </is>
      </c>
      <c r="K113" s="11" t="inlineStr">
        <is>
          <t>Alternative orchestration model</t>
        </is>
      </c>
      <c r="L113" s="11" t="inlineStr">
        <is>
          <t>AgentChat vs Core</t>
        </is>
      </c>
      <c r="M113" s="11" t="inlineStr">
        <is>
          <t>Modules/05-Multi-Agent/05-01-Multi-Agent-Orchestration.md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05-01</t>
        </is>
      </c>
      <c r="C114" s="11" t="inlineStr">
        <is>
          <t>05-Multi-Agent</t>
        </is>
      </c>
      <c r="D114" s="11" t="n">
        <v>4</v>
      </c>
      <c r="E114" s="11" t="inlineStr">
        <is>
          <t>CrewAI Documentation</t>
        </is>
      </c>
      <c r="F114" s="12" t="inlineStr">
        <is>
          <t>https://docs.crewai.com/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Intro</t>
        </is>
      </c>
      <c r="J114" s="11" t="inlineStr">
        <is>
          <t>30 min</t>
        </is>
      </c>
      <c r="K114" s="11" t="inlineStr">
        <is>
          <t>Role-based crew mental model</t>
        </is>
      </c>
      <c r="L114" s="11" t="inlineStr">
        <is>
          <t>Agents; tasks; processes</t>
        </is>
      </c>
      <c r="M114" s="11" t="inlineStr">
        <is>
          <t>Modules/05-Multi-Agent/05-01-Multi-Agent-Orchestration.md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05-01</t>
        </is>
      </c>
      <c r="C115" s="11" t="inlineStr">
        <is>
          <t>05-Multi-Agent</t>
        </is>
      </c>
      <c r="D115" s="11" t="n">
        <v>5</v>
      </c>
      <c r="E115" s="11" t="inlineStr">
        <is>
          <t>MetaGPT (multi-agent paper)</t>
        </is>
      </c>
      <c r="F115" s="12" t="inlineStr">
        <is>
          <t>https://arxiv.org/abs/2308.08155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Advanced</t>
        </is>
      </c>
      <c r="J115" s="11" t="inlineStr">
        <is>
          <t>45 min</t>
        </is>
      </c>
      <c r="K115" s="11" t="inlineStr">
        <is>
          <t>Academic view of role specialization</t>
        </is>
      </c>
      <c r="L115" s="11" t="inlineStr">
        <is>
          <t>Method; failure modes</t>
        </is>
      </c>
      <c r="M115" s="11" t="inlineStr">
        <is>
          <t>Modules/05-Multi-Agent/05-01-Multi-Agent-Orchestration.md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05-02</t>
        </is>
      </c>
      <c r="C116" s="11" t="inlineStr">
        <is>
          <t>05-Multi-Agent</t>
        </is>
      </c>
      <c r="D116" s="11" t="n">
        <v>1</v>
      </c>
      <c r="E116" s="11" t="inlineStr">
        <is>
          <t>LangGraph Multi-Agent</t>
        </is>
      </c>
      <c r="F116" s="12" t="inlineStr">
        <is>
          <t>https://langchain-ai.github.io/langgraph/concepts/multi_agent/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Intermediate</t>
        </is>
      </c>
      <c r="J116" s="11" t="inlineStr">
        <is>
          <t>45 min</t>
        </is>
      </c>
      <c r="K116" s="11" t="inlineStr">
        <is>
          <t>Handoffs, Send, subgraphs</t>
        </is>
      </c>
      <c r="L116" s="11" t="inlineStr">
        <is>
          <t>Multi-agent architectures</t>
        </is>
      </c>
      <c r="M116" s="11" t="inlineStr">
        <is>
          <t>Modules/05-Multi-Agent/05-02-Planner-Executor-Critic.md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05-02</t>
        </is>
      </c>
      <c r="C117" s="11" t="inlineStr">
        <is>
          <t>05-Multi-Agent</t>
        </is>
      </c>
      <c r="D117" s="11" t="n">
        <v>2</v>
      </c>
      <c r="E117" s="11" t="inlineStr">
        <is>
          <t>MetaGPT Paper</t>
        </is>
      </c>
      <c r="F117" s="12" t="inlineStr">
        <is>
          <t>https://arxiv.org/abs/2308.08155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Advanced</t>
        </is>
      </c>
      <c r="J117" s="11" t="inlineStr">
        <is>
          <t>45 min</t>
        </is>
      </c>
      <c r="K117" s="11" t="inlineStr">
        <is>
          <t>Role-based decomposition theory</t>
        </is>
      </c>
      <c r="L117" s="11" t="inlineStr">
        <is>
          <t>Method</t>
        </is>
      </c>
      <c r="M117" s="11" t="inlineStr">
        <is>
          <t>Modules/05-Multi-Agent/05-02-Planner-Executor-Critic.md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05-03</t>
        </is>
      </c>
      <c r="C118" s="11" t="inlineStr">
        <is>
          <t>05-Multi-Agent</t>
        </is>
      </c>
      <c r="D118" s="11" t="n">
        <v>1</v>
      </c>
      <c r="E118" s="11" t="inlineStr">
        <is>
          <t>LangGraph Multi-Agent</t>
        </is>
      </c>
      <c r="F118" s="12" t="inlineStr">
        <is>
          <t>https://langchain-ai.github.io/langgraph/concepts/multi_agent/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Intermediate</t>
        </is>
      </c>
      <c r="J118" s="11" t="inlineStr">
        <is>
          <t>45 min</t>
        </is>
      </c>
      <c r="K118" s="11" t="inlineStr">
        <is>
          <t>Production graph patterns</t>
        </is>
      </c>
      <c r="L118" s="11" t="inlineStr">
        <is>
          <t>Handoffs; supervisor</t>
        </is>
      </c>
      <c r="M118" s="11" t="inlineStr">
        <is>
          <t>Modules/05-Multi-Agent/05-03-Frameworks-CrewAI-AutoGen-LangGraph.md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05-03</t>
        </is>
      </c>
      <c r="C119" s="11" t="inlineStr">
        <is>
          <t>05-Multi-Agent</t>
        </is>
      </c>
      <c r="D119" s="11" t="n">
        <v>2</v>
      </c>
      <c r="E119" s="11" t="inlineStr">
        <is>
          <t>CrewAI Docs</t>
        </is>
      </c>
      <c r="F119" s="12" t="inlineStr">
        <is>
          <t>https://docs.crewai.com/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Intro–Intermediate</t>
        </is>
      </c>
      <c r="J119" s="11" t="inlineStr">
        <is>
          <t>45 min</t>
        </is>
      </c>
      <c r="K119" s="11" t="inlineStr">
        <is>
          <t>Crews, flows, enterprise</t>
        </is>
      </c>
      <c r="L119" s="11" t="inlineStr">
        <is>
          <t>Agents; tasks; processes</t>
        </is>
      </c>
      <c r="M119" s="11" t="inlineStr">
        <is>
          <t>Modules/05-Multi-Agent/05-03-Frameworks-CrewAI-AutoGen-LangGraph.md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05-03</t>
        </is>
      </c>
      <c r="C120" s="11" t="inlineStr">
        <is>
          <t>05-Multi-Agent</t>
        </is>
      </c>
      <c r="D120" s="11" t="n">
        <v>3</v>
      </c>
      <c r="E120" s="11" t="inlineStr">
        <is>
          <t>AutoGen Stable Docs</t>
        </is>
      </c>
      <c r="F120" s="12" t="inlineStr">
        <is>
          <t>https://microsoft.github.io/autogen/stable//index.html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Intermediate</t>
        </is>
      </c>
      <c r="J120" s="11" t="inlineStr">
        <is>
          <t>45 min</t>
        </is>
      </c>
      <c r="K120" s="11" t="inlineStr">
        <is>
          <t>AgentChat vs Core</t>
        </is>
      </c>
      <c r="L120" s="11" t="inlineStr">
        <is>
          <t>Extensions; MCP</t>
        </is>
      </c>
      <c r="M120" s="11" t="inlineStr">
        <is>
          <t>Modules/05-Multi-Agent/05-03-Frameworks-CrewAI-AutoGen-LangGraph.md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05-03</t>
        </is>
      </c>
      <c r="C121" s="11" t="inlineStr">
        <is>
          <t>05-Multi-Agent</t>
        </is>
      </c>
      <c r="D121" s="11" t="n">
        <v>4</v>
      </c>
      <c r="E121" s="11" t="inlineStr">
        <is>
          <t>MetaGPT Paper</t>
        </is>
      </c>
      <c r="F121" s="12" t="inlineStr">
        <is>
          <t>https://arxiv.org/abs/2308.08155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Advanced</t>
        </is>
      </c>
      <c r="J121" s="11" t="inlineStr">
        <is>
          <t>45 min</t>
        </is>
      </c>
      <c r="K121" s="11" t="inlineStr">
        <is>
          <t>Role-based multi-agent research</t>
        </is>
      </c>
      <c r="L121" s="11" t="inlineStr">
        <is>
          <t>Methodology</t>
        </is>
      </c>
      <c r="M121" s="11" t="inlineStr">
        <is>
          <t>Modules/05-Multi-Agent/05-03-Frameworks-CrewAI-AutoGen-LangGraph.md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06-01</t>
        </is>
      </c>
      <c r="C122" s="11" t="inlineStr">
        <is>
          <t>06-Conversational-Multimodal</t>
        </is>
      </c>
      <c r="D122" s="11" t="n">
        <v>1</v>
      </c>
      <c r="E122" s="11" t="inlineStr">
        <is>
          <t>OpenAI Speech-to-Text</t>
        </is>
      </c>
      <c r="F122" s="12" t="inlineStr">
        <is>
          <t>https://platform.openai.com/docs/guides/speech-to-text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25 min</t>
        </is>
      </c>
      <c r="K122" s="11" t="inlineStr">
        <is>
          <t>Whisper API production options</t>
        </is>
      </c>
      <c r="L122" s="11" t="inlineStr">
        <is>
          <t>Supported formats; streaming</t>
        </is>
      </c>
      <c r="M122" s="11" t="inlineStr">
        <is>
          <t>Modules/06-Conversational-Multimodal/06-01-Voice-ASR-TTS-Pipelines.md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06-01</t>
        </is>
      </c>
      <c r="C123" s="11" t="inlineStr">
        <is>
          <t>06-Conversational-Multimodal</t>
        </is>
      </c>
      <c r="D123" s="11" t="n">
        <v>2</v>
      </c>
      <c r="E123" s="11" t="inlineStr">
        <is>
          <t>OpenAI Text-to-Speech</t>
        </is>
      </c>
      <c r="F123" s="12" t="inlineStr">
        <is>
          <t>https://platform.openai.com/docs/guides/text-to-speech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Intro</t>
        </is>
      </c>
      <c r="J123" s="11" t="inlineStr">
        <is>
          <t>20 min</t>
        </is>
      </c>
      <c r="K123" s="11" t="inlineStr">
        <is>
          <t>Neural TTS integration</t>
        </is>
      </c>
      <c r="L123" s="11" t="inlineStr">
        <is>
          <t>Voices; streaming</t>
        </is>
      </c>
      <c r="M123" s="11" t="inlineStr">
        <is>
          <t>Modules/06-Conversational-Multimodal/06-01-Voice-ASR-TTS-Pipelines.md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06-01</t>
        </is>
      </c>
      <c r="C124" s="11" t="inlineStr">
        <is>
          <t>06-Conversational-Multimodal</t>
        </is>
      </c>
      <c r="D124" s="11" t="n">
        <v>3</v>
      </c>
      <c r="E124" s="11" t="inlineStr">
        <is>
          <t>OpenAI Realtime API</t>
        </is>
      </c>
      <c r="F124" s="12" t="inlineStr">
        <is>
          <t>https://platform.openai.com/docs/guides/realtime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Intermediate</t>
        </is>
      </c>
      <c r="J124" s="11" t="inlineStr">
        <is>
          <t>45 min</t>
        </is>
      </c>
      <c r="K124" s="11" t="inlineStr">
        <is>
          <t>Native S2S path</t>
        </is>
      </c>
      <c r="L124" s="11" t="inlineStr">
        <is>
          <t>Session lifecycle; VAD</t>
        </is>
      </c>
      <c r="M124" s="11" t="inlineStr">
        <is>
          <t>Modules/06-Conversational-Multimodal/06-01-Voice-ASR-TTS-Pipelines.md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06-01</t>
        </is>
      </c>
      <c r="C125" s="11" t="inlineStr">
        <is>
          <t>06-Conversational-Multimodal</t>
        </is>
      </c>
      <c r="D125" s="11" t="n">
        <v>4</v>
      </c>
      <c r="E125" s="11" t="inlineStr">
        <is>
          <t>Faster-Whisper</t>
        </is>
      </c>
      <c r="F125" s="12" t="inlineStr">
        <is>
          <t>https://github.com/SYSTRAN/faster-whisper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Intermediate</t>
        </is>
      </c>
      <c r="J125" s="11" t="inlineStr">
        <is>
          <t>30 min</t>
        </is>
      </c>
      <c r="K125" s="11" t="inlineStr">
        <is>
          <t>Self-host ASR economics</t>
        </is>
      </c>
      <c r="L125" s="11" t="inlineStr">
        <is>
          <t>GPU/CPU benchmarks</t>
        </is>
      </c>
      <c r="M125" s="11" t="inlineStr">
        <is>
          <t>Modules/06-Conversational-Multimodal/06-01-Voice-ASR-TTS-Pipelines.md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06-01</t>
        </is>
      </c>
      <c r="C126" s="11" t="inlineStr">
        <is>
          <t>06-Conversational-Multimodal</t>
        </is>
      </c>
      <c r="D126" s="11" t="n">
        <v>5</v>
      </c>
      <c r="E126" s="11" t="inlineStr">
        <is>
          <t>WebRTC VAD</t>
        </is>
      </c>
      <c r="F126" s="12" t="inlineStr">
        <is>
          <t>https://github.com/wiseman/py-webrtcvad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Intro</t>
        </is>
      </c>
      <c r="J126" s="11" t="inlineStr">
        <is>
          <t>15 min</t>
        </is>
      </c>
      <c r="K126" s="11" t="inlineStr">
        <is>
          <t>Lightweight endpointing</t>
        </is>
      </c>
      <c r="L126" s="11" t="inlineStr">
        <is>
          <t>Aggressiveness modes</t>
        </is>
      </c>
      <c r="M126" s="11" t="inlineStr">
        <is>
          <t>Modules/06-Conversational-Multimodal/06-01-Voice-ASR-TTS-Pipelines.md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06-01</t>
        </is>
      </c>
      <c r="C127" s="11" t="inlineStr">
        <is>
          <t>06-Conversational-Multimodal</t>
        </is>
      </c>
      <c r="D127" s="11" t="n">
        <v>6</v>
      </c>
      <c r="E127" s="11" t="inlineStr">
        <is>
          <t>Deepgram Streaming</t>
        </is>
      </c>
      <c r="F127" s="12" t="inlineStr">
        <is>
          <t>https://developers.deepgram.com/docs/streaming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Intermediate</t>
        </is>
      </c>
      <c r="J127" s="11" t="inlineStr">
        <is>
          <t>30 min</t>
        </is>
      </c>
      <c r="K127" s="11" t="inlineStr">
        <is>
          <t>Cloud streaming STT pattern</t>
        </is>
      </c>
      <c r="L127" s="11" t="inlineStr">
        <is>
          <t>Interim results</t>
        </is>
      </c>
      <c r="M127" s="11" t="inlineStr">
        <is>
          <t>Modules/06-Conversational-Multimodal/06-01-Voice-ASR-TTS-Pipelines.md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06-01</t>
        </is>
      </c>
      <c r="C128" s="11" t="inlineStr">
        <is>
          <t>06-Conversational-Multimodal</t>
        </is>
      </c>
      <c r="D128" s="11" t="n">
        <v>7</v>
      </c>
      <c r="E128" s="11" t="inlineStr">
        <is>
          <t>ElevenLabs API</t>
        </is>
      </c>
      <c r="F128" s="12" t="inlineStr">
        <is>
          <t>https://elevenlabs.io/docs/api-reference/text-to-speech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25 min</t>
        </is>
      </c>
      <c r="K128" s="11" t="inlineStr">
        <is>
          <t>Premium TTS</t>
        </is>
      </c>
      <c r="L128" s="11" t="inlineStr">
        <is>
          <t>Streaming; voice settings</t>
        </is>
      </c>
      <c r="M128" s="11" t="inlineStr">
        <is>
          <t>Modules/06-Conversational-Multimodal/06-01-Voice-ASR-TTS-Pipelines.md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06-02</t>
        </is>
      </c>
      <c r="C129" s="11" t="inlineStr">
        <is>
          <t>06-Conversational-Multimodal</t>
        </is>
      </c>
      <c r="D129" s="11" t="n">
        <v>1</v>
      </c>
      <c r="E129" s="11" t="inlineStr">
        <is>
          <t>OpenAI Vision Guide</t>
        </is>
      </c>
      <c r="F129" s="12" t="inlineStr">
        <is>
          <t>https://platform.openai.com/docs/guides/images-vision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30 min</t>
        </is>
      </c>
      <c r="K129" s="11" t="inlineStr">
        <is>
          <t>Image input API</t>
        </is>
      </c>
      <c r="L129" s="11" t="inlineStr">
        <is>
          <t>Detail vs low-res</t>
        </is>
      </c>
      <c r="M129" s="11" t="inlineStr">
        <is>
          <t>Modules/06-Conversational-Multimodal/06-02-Multimodal-Agents.md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06-02</t>
        </is>
      </c>
      <c r="C130" s="11" t="inlineStr">
        <is>
          <t>06-Conversational-Multimodal</t>
        </is>
      </c>
      <c r="D130" s="11" t="n">
        <v>2</v>
      </c>
      <c r="E130" s="11" t="inlineStr">
        <is>
          <t>Claude Vision</t>
        </is>
      </c>
      <c r="F130" s="12" t="inlineStr">
        <is>
          <t>https://platform.claude.com/docs/en/build-with-claude/vision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PDF/image patterns</t>
        </is>
      </c>
      <c r="L130" s="11" t="inlineStr">
        <is>
          <t>Best practices</t>
        </is>
      </c>
      <c r="M130" s="11" t="inlineStr">
        <is>
          <t>Modules/06-Conversational-Multimodal/06-02-Multimodal-Agents.md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06-02</t>
        </is>
      </c>
      <c r="C131" s="11" t="inlineStr">
        <is>
          <t>06-Conversational-Multimodal</t>
        </is>
      </c>
      <c r="D131" s="11" t="n">
        <v>3</v>
      </c>
      <c r="E131" s="11" t="inlineStr">
        <is>
          <t>Gemini Multimodal</t>
        </is>
      </c>
      <c r="F131" s="12" t="inlineStr">
        <is>
          <t>https://ai.google.dev/gemini-api/docs/vision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25 min</t>
        </is>
      </c>
      <c r="K131" s="11" t="inlineStr">
        <is>
          <t>Google stack</t>
        </is>
      </c>
      <c r="L131" s="11" t="inlineStr">
        <is>
          <t>Image understanding</t>
        </is>
      </c>
      <c r="M131" s="11" t="inlineStr">
        <is>
          <t>Modules/06-Conversational-Multimodal/06-02-Multimodal-Agents.md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06-02</t>
        </is>
      </c>
      <c r="C132" s="11" t="inlineStr">
        <is>
          <t>06-Conversational-Multimodal</t>
        </is>
      </c>
      <c r="D132" s="11" t="n">
        <v>4</v>
      </c>
      <c r="E132" s="11" t="inlineStr">
        <is>
          <t>PyMuPDF</t>
        </is>
      </c>
      <c r="F132" s="12" t="inlineStr">
        <is>
          <t>https://pymupdf.readthedocs.io/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Intro</t>
        </is>
      </c>
      <c r="J132" s="11" t="inlineStr">
        <is>
          <t>20 min</t>
        </is>
      </c>
      <c r="K132" s="11" t="inlineStr">
        <is>
          <t>PDF text extraction</t>
        </is>
      </c>
      <c r="L132" s="11" t="inlineStr">
        <is>
          <t>Text extraction</t>
        </is>
      </c>
      <c r="M132" s="11" t="inlineStr">
        <is>
          <t>Modules/06-Conversational-Multimodal/06-02-Multimodal-Agents.md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06-02</t>
        </is>
      </c>
      <c r="C133" s="11" t="inlineStr">
        <is>
          <t>06-Conversational-Multimodal</t>
        </is>
      </c>
      <c r="D133" s="11" t="n">
        <v>5</v>
      </c>
      <c r="E133" s="11" t="inlineStr">
        <is>
          <t>LayoutParser</t>
        </is>
      </c>
      <c r="F133" s="12" t="inlineStr">
        <is>
          <t>https://layout-parser.github.io/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40 min</t>
        </is>
      </c>
      <c r="K133" s="11" t="inlineStr">
        <is>
          <t>Document layout</t>
        </is>
      </c>
      <c r="L133" s="11" t="inlineStr">
        <is>
          <t>Detection models</t>
        </is>
      </c>
      <c r="M133" s="11" t="inlineStr">
        <is>
          <t>Modules/06-Conversational-Multimodal/06-02-Multimodal-Agents.md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06-02</t>
        </is>
      </c>
      <c r="C134" s="11" t="inlineStr">
        <is>
          <t>06-Conversational-Multimodal</t>
        </is>
      </c>
      <c r="D134" s="11" t="n">
        <v>6</v>
      </c>
      <c r="E134" s="11" t="inlineStr">
        <is>
          <t>DeepEval Multimodal</t>
        </is>
      </c>
      <c r="F134" s="12" t="inlineStr">
        <is>
          <t>https://deepeval.com/docs/multimodal-metrics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Intermediate</t>
        </is>
      </c>
      <c r="J134" s="11" t="inlineStr">
        <is>
          <t>30 min</t>
        </is>
      </c>
      <c r="K134" s="11" t="inlineStr">
        <is>
          <t>Eval patterns</t>
        </is>
      </c>
      <c r="L134" s="11" t="inlineStr">
        <is>
          <t>Image QA metrics</t>
        </is>
      </c>
      <c r="M134" s="11" t="inlineStr">
        <is>
          <t>Modules/06-Conversational-Multimodal/06-02-Multimodal-Agents.md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07-01</t>
        </is>
      </c>
      <c r="C135" s="11" t="inlineStr">
        <is>
          <t>07-Protocols-MCP-A2A</t>
        </is>
      </c>
      <c r="D135" s="11" t="n">
        <v>1</v>
      </c>
      <c r="E135" s="11" t="inlineStr">
        <is>
          <t>MCP Introduction</t>
        </is>
      </c>
      <c r="F135" s="12" t="inlineStr">
        <is>
          <t>https://modelcontextprotocol.io/docs/getting-started/intro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Intro</t>
        </is>
      </c>
      <c r="J135" s="11" t="inlineStr">
        <is>
          <t>20 min</t>
        </is>
      </c>
      <c r="K135" s="11" t="inlineStr">
        <is>
          <t>Canonical spec mindset</t>
        </is>
      </c>
      <c r="L135" s="11" t="inlineStr">
        <is>
          <t>Concepts; architecture</t>
        </is>
      </c>
      <c r="M135" s="11" t="inlineStr">
        <is>
          <t>Modules/07-Protocols-MCP-A2A/07-01-MCP-Model-Context-Protocol.md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07-01</t>
        </is>
      </c>
      <c r="C136" s="11" t="inlineStr">
        <is>
          <t>07-Protocols-MCP-A2A</t>
        </is>
      </c>
      <c r="D136" s="11" t="n">
        <v>2</v>
      </c>
      <c r="E136" s="11" t="inlineStr">
        <is>
          <t>MCP Python SDK</t>
        </is>
      </c>
      <c r="F136" s="12" t="inlineStr">
        <is>
          <t>https://github.com/modelcontextprotocol/python-sdk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Intermediate</t>
        </is>
      </c>
      <c r="J136" s="11" t="inlineStr">
        <is>
          <t>45 min</t>
        </is>
      </c>
      <c r="K136" s="11" t="inlineStr">
        <is>
          <t>FastMCP implementation</t>
        </is>
      </c>
      <c r="L136" s="11" t="inlineStr">
        <is>
          <t>Server examples</t>
        </is>
      </c>
      <c r="M136" s="11" t="inlineStr">
        <is>
          <t>Modules/07-Protocols-MCP-A2A/07-01-MCP-Model-Context-Protocol.md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07-01</t>
        </is>
      </c>
      <c r="C137" s="11" t="inlineStr">
        <is>
          <t>07-Protocols-MCP-A2A</t>
        </is>
      </c>
      <c r="D137" s="11" t="n">
        <v>3</v>
      </c>
      <c r="E137" s="11" t="inlineStr">
        <is>
          <t>MCP Specification</t>
        </is>
      </c>
      <c r="F137" s="12" t="inlineStr">
        <is>
          <t>https://modelcontextprotocol.io/specification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Advanced</t>
        </is>
      </c>
      <c r="J137" s="11" t="inlineStr">
        <is>
          <t>90 min</t>
        </is>
      </c>
      <c r="K137" s="11" t="inlineStr">
        <is>
          <t>Wire protocol details</t>
        </is>
      </c>
      <c r="L137" s="11" t="inlineStr">
        <is>
          <t>Tools; resources; prompts</t>
        </is>
      </c>
      <c r="M137" s="11" t="inlineStr">
        <is>
          <t>Modules/07-Protocols-MCP-A2A/07-01-MCP-Model-Context-Protocol.md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07-01</t>
        </is>
      </c>
      <c r="C138" s="11" t="inlineStr">
        <is>
          <t>07-Protocols-MCP-A2A</t>
        </is>
      </c>
      <c r="D138" s="11" t="n">
        <v>4</v>
      </c>
      <c r="E138" s="11" t="inlineStr">
        <is>
          <t>Anthropic MCP Announcement</t>
        </is>
      </c>
      <c r="F138" s="12" t="inlineStr">
        <is>
          <t>https://www.anthropic.com/news/model-context-protocol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Intro</t>
        </is>
      </c>
      <c r="J138" s="11" t="inlineStr">
        <is>
          <t>15 min</t>
        </is>
      </c>
      <c r="K138" s="11" t="inlineStr">
        <is>
          <t>Why USB-C metaphor</t>
        </is>
      </c>
      <c r="L138" s="11" t="inlineStr">
        <is>
          <t>Problem framing</t>
        </is>
      </c>
      <c r="M138" s="11" t="inlineStr">
        <is>
          <t>Modules/07-Protocols-MCP-A2A/07-01-MCP-Model-Context-Protocol.md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07-01</t>
        </is>
      </c>
      <c r="C139" s="11" t="inlineStr">
        <is>
          <t>07-Protocols-MCP-A2A</t>
        </is>
      </c>
      <c r="D139" s="11" t="n">
        <v>5</v>
      </c>
      <c r="E139" s="11" t="inlineStr">
        <is>
          <t>Cursor MCP Docs</t>
        </is>
      </c>
      <c r="F139" s="12" t="inlineStr">
        <is>
          <t>https://docs.cursor.com/context/mcp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Intro</t>
        </is>
      </c>
      <c r="J139" s="11" t="inlineStr">
        <is>
          <t>20 min</t>
        </is>
      </c>
      <c r="K139" s="11" t="inlineStr">
        <is>
          <t>IDE integration</t>
        </is>
      </c>
      <c r="L139" s="11" t="inlineStr">
        <is>
          <t>Config JSON</t>
        </is>
      </c>
      <c r="M139" s="11" t="inlineStr">
        <is>
          <t>Modules/07-Protocols-MCP-A2A/07-01-MCP-Model-Context-Protocol.md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07-02</t>
        </is>
      </c>
      <c r="C140" s="11" t="inlineStr">
        <is>
          <t>07-Protocols-MCP-A2A</t>
        </is>
      </c>
      <c r="D140" s="11" t="n">
        <v>1</v>
      </c>
      <c r="E140" s="11" t="inlineStr">
        <is>
          <t>A2A Protocol Docs</t>
        </is>
      </c>
      <c r="F140" s="12" t="inlineStr">
        <is>
          <t>https://a2a-protocol.org/latest/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Intro</t>
        </is>
      </c>
      <c r="J140" s="11" t="inlineStr">
        <is>
          <t>40 min</t>
        </is>
      </c>
      <c r="K140" s="11" t="inlineStr">
        <is>
          <t>Canonical concepts</t>
        </is>
      </c>
      <c r="L140" s="11" t="inlineStr">
        <is>
          <t>Agent card; tasks</t>
        </is>
      </c>
      <c r="M140" s="11" t="inlineStr">
        <is>
          <t>Modules/07-Protocols-MCP-A2A/07-02-A2A-Agent-to-Agent.md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07-02</t>
        </is>
      </c>
      <c r="C141" s="11" t="inlineStr">
        <is>
          <t>07-Protocols-MCP-A2A</t>
        </is>
      </c>
      <c r="D141" s="11" t="n">
        <v>2</v>
      </c>
      <c r="E141" s="11" t="inlineStr">
        <is>
          <t>A2A GitHub</t>
        </is>
      </c>
      <c r="F141" s="12" t="inlineStr">
        <is>
          <t>https://github.com/a2aproject/A2A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Intermediate</t>
        </is>
      </c>
      <c r="J141" s="11" t="inlineStr">
        <is>
          <t>45 min</t>
        </is>
      </c>
      <c r="K141" s="11" t="inlineStr">
        <is>
          <t>Reference samples</t>
        </is>
      </c>
      <c r="L141" s="11" t="inlineStr">
        <is>
          <t>Spec sources</t>
        </is>
      </c>
      <c r="M141" s="11" t="inlineStr">
        <is>
          <t>Modules/07-Protocols-MCP-A2A/07-02-A2A-Agent-to-Agent.md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07-02</t>
        </is>
      </c>
      <c r="C142" s="11" t="inlineStr">
        <is>
          <t>07-Protocols-MCP-A2A</t>
        </is>
      </c>
      <c r="D142" s="11" t="n">
        <v>3</v>
      </c>
      <c r="E142" s="11" t="inlineStr">
        <is>
          <t>Google A2A Announcement</t>
        </is>
      </c>
      <c r="F142" s="12" t="inlineStr">
        <is>
          <t>https://developers.googleblog.com/en/a2a-a-new-era-of-agent-interoperability/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15 min</t>
        </is>
      </c>
      <c r="K142" s="11" t="inlineStr">
        <is>
          <t>Ecosystem context</t>
        </is>
      </c>
      <c r="L142" s="11" t="inlineStr">
        <is>
          <t>MCP complement</t>
        </is>
      </c>
      <c r="M142" s="11" t="inlineStr">
        <is>
          <t>Modules/07-Protocols-MCP-A2A/07-02-A2A-Agent-to-Agent.md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07-02</t>
        </is>
      </c>
      <c r="C143" s="11" t="inlineStr">
        <is>
          <t>07-Protocols-MCP-A2A</t>
        </is>
      </c>
      <c r="D143" s="11" t="n">
        <v>4</v>
      </c>
      <c r="E143" s="11" t="inlineStr">
        <is>
          <t>MCP Intro (contrast)</t>
        </is>
      </c>
      <c r="F143" s="12" t="inlineStr">
        <is>
          <t>https://modelcontextprotocol.io/docs/getting-started/intro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Intro</t>
        </is>
      </c>
      <c r="J143" s="11" t="inlineStr">
        <is>
          <t>15 min</t>
        </is>
      </c>
      <c r="K143" s="11" t="inlineStr">
        <is>
          <t>Tool vs agent boundary</t>
        </is>
      </c>
      <c r="L143" s="11" t="inlineStr">
        <is>
          <t>Architecture</t>
        </is>
      </c>
      <c r="M143" s="11" t="inlineStr">
        <is>
          <t>Modules/07-Protocols-MCP-A2A/07-02-A2A-Agent-to-Agent.md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07-02</t>
        </is>
      </c>
      <c r="C144" s="11" t="inlineStr">
        <is>
          <t>07-Protocols-MCP-A2A</t>
        </is>
      </c>
      <c r="D144" s="11" t="n">
        <v>5</v>
      </c>
      <c r="E144" s="11" t="inlineStr">
        <is>
          <t>LangGraph Multi-Agent</t>
        </is>
      </c>
      <c r="F144" s="12" t="inlineStr">
        <is>
          <t>https://langchain-ai.github.io/langgraph/concepts/multi_agent/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30 min</t>
        </is>
      </c>
      <c r="K144" s="11" t="inlineStr">
        <is>
          <t>In-process alternative</t>
        </is>
      </c>
      <c r="L144" s="11" t="inlineStr">
        <is>
          <t>Supervisor patterns</t>
        </is>
      </c>
      <c r="M144" s="11" t="inlineStr">
        <is>
          <t>Modules/07-Protocols-MCP-A2A/07-02-A2A-Agent-to-Agent.md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07-03</t>
        </is>
      </c>
      <c r="C145" s="11" t="inlineStr">
        <is>
          <t>07-Protocols-MCP-A2A</t>
        </is>
      </c>
      <c r="D145" s="11" t="n">
        <v>1</v>
      </c>
      <c r="E145" s="11" t="inlineStr">
        <is>
          <t>A2A Protocol</t>
        </is>
      </c>
      <c r="F145" s="12" t="inlineStr">
        <is>
          <t>https://a2a-protocol.org/latest/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Intermediate</t>
        </is>
      </c>
      <c r="J145" s="11" t="inlineStr">
        <is>
          <t>40 min</t>
        </is>
      </c>
      <c r="K145" s="11" t="inlineStr">
        <is>
          <t>Task async model</t>
        </is>
      </c>
      <c r="L145" s="11" t="inlineStr">
        <is>
          <t>Task lifecycle</t>
        </is>
      </c>
      <c r="M145" s="11" t="inlineStr">
        <is>
          <t>Modules/07-Protocols-MCP-A2A/07-03-Negotiation-Async-Workflows.md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07-03</t>
        </is>
      </c>
      <c r="C146" s="11" t="inlineStr">
        <is>
          <t>07-Protocols-MCP-A2A</t>
        </is>
      </c>
      <c r="D146" s="11" t="n">
        <v>2</v>
      </c>
      <c r="E146" s="11" t="inlineStr">
        <is>
          <t>LangGraph Persistence</t>
        </is>
      </c>
      <c r="F146" s="12" t="inlineStr">
        <is>
          <t>https://langchain-ai.github.io/langgraph/concepts/persistence/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35 min</t>
        </is>
      </c>
      <c r="K146" s="11" t="inlineStr">
        <is>
          <t>Checkpoint replay</t>
        </is>
      </c>
      <c r="L146" s="11" t="inlineStr">
        <is>
          <t>Threads; replay</t>
        </is>
      </c>
      <c r="M146" s="11" t="inlineStr">
        <is>
          <t>Modules/07-Protocols-MCP-A2A/07-03-Negotiation-Async-Workflows.md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07-03</t>
        </is>
      </c>
      <c r="C147" s="11" t="inlineStr">
        <is>
          <t>07-Protocols-MCP-A2A</t>
        </is>
      </c>
      <c r="D147" s="11" t="n">
        <v>3</v>
      </c>
      <c r="E147" s="11" t="inlineStr">
        <is>
          <t>Temporal Workflows</t>
        </is>
      </c>
      <c r="F147" s="12" t="inlineStr">
        <is>
          <t>https://docs.temporal.io/workflows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Intermediate</t>
        </is>
      </c>
      <c r="J147" s="11" t="inlineStr">
        <is>
          <t>45 min</t>
        </is>
      </c>
      <c r="K147" s="11" t="inlineStr">
        <is>
          <t>Async saga patterns</t>
        </is>
      </c>
      <c r="L147" s="11" t="inlineStr">
        <is>
          <t>Signals; timers</t>
        </is>
      </c>
      <c r="M147" s="11" t="inlineStr">
        <is>
          <t>Modules/07-Protocols-MCP-A2A/07-03-Negotiation-Async-Workflows.md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07-03</t>
        </is>
      </c>
      <c r="C148" s="11" t="inlineStr">
        <is>
          <t>07-Protocols-MCP-A2A</t>
        </is>
      </c>
      <c r="D148" s="11" t="n">
        <v>4</v>
      </c>
      <c r="E148" s="11" t="inlineStr">
        <is>
          <t>OpenTelemetry</t>
        </is>
      </c>
      <c r="F148" s="12" t="inlineStr">
        <is>
          <t>https://opentelemetry.io/docs/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Intermediate</t>
        </is>
      </c>
      <c r="J148" s="11" t="inlineStr">
        <is>
          <t>30 min</t>
        </is>
      </c>
      <c r="K148" s="11" t="inlineStr">
        <is>
          <t>Trace propagation</t>
        </is>
      </c>
      <c r="L148" s="11" t="inlineStr">
        <is>
          <t>Context</t>
        </is>
      </c>
      <c r="M148" s="11" t="inlineStr">
        <is>
          <t>Modules/07-Protocols-MCP-A2A/07-03-Negotiation-Async-Workflows.md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07-03</t>
        </is>
      </c>
      <c r="C149" s="11" t="inlineStr">
        <is>
          <t>07-Protocols-MCP-A2A</t>
        </is>
      </c>
      <c r="D149" s="11" t="n">
        <v>5</v>
      </c>
      <c r="E149" s="11" t="inlineStr">
        <is>
          <t>Enterprise Integration Patterns</t>
        </is>
      </c>
      <c r="F149" s="12" t="inlineStr">
        <is>
          <t>https://www.enterpriseintegrationpatterns.com/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Advanced</t>
        </is>
      </c>
      <c r="J149" s="11" t="inlineStr">
        <is>
          <t>60 min</t>
        </is>
      </c>
      <c r="K149" s="11" t="inlineStr">
        <is>
          <t>Message routing</t>
        </is>
      </c>
      <c r="L149" s="11" t="inlineStr">
        <is>
          <t>Saga; DLQ</t>
        </is>
      </c>
      <c r="M149" s="11" t="inlineStr">
        <is>
          <t>Modules/07-Protocols-MCP-A2A/07-03-Negotiation-Async-Workflows.md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07-04</t>
        </is>
      </c>
      <c r="C150" s="11" t="inlineStr">
        <is>
          <t>07-Protocols-MCP-A2A</t>
        </is>
      </c>
      <c r="D150" s="11" t="n">
        <v>1</v>
      </c>
      <c r="E150" s="11" t="inlineStr">
        <is>
          <t>https://modelcontextprotocol.io/</t>
        </is>
      </c>
      <c r="F150" s="12" t="inlineStr">
        <is>
          <t>https://modelcontextprotocol.io/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/>
      <c r="J150" s="11" t="inlineStr"/>
      <c r="K150" s="11" t="inlineStr"/>
      <c r="L150" s="11" t="inlineStr"/>
      <c r="M150" s="11" t="inlineStr">
        <is>
          <t>Modules/07-Protocols-MCP-A2A/07-04-MCP-Production-Patterns.md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07-04</t>
        </is>
      </c>
      <c r="C151" s="11" t="inlineStr">
        <is>
          <t>07-Protocols-MCP-A2A</t>
        </is>
      </c>
      <c r="D151" s="11" t="n">
        <v>2</v>
      </c>
      <c r="E151" s="11" t="inlineStr">
        <is>
          <t>https://spec.modelcontextprotocol.io/</t>
        </is>
      </c>
      <c r="F151" s="12" t="inlineStr">
        <is>
          <t>https://spec.modelcontextprotocol.io/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/>
      <c r="J151" s="11" t="inlineStr"/>
      <c r="K151" s="11" t="inlineStr"/>
      <c r="L151" s="11" t="inlineStr"/>
      <c r="M151" s="11" t="inlineStr">
        <is>
          <t>Modules/07-Protocols-MCP-A2A/07-04-MCP-Production-Patterns.md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07-04</t>
        </is>
      </c>
      <c r="C152" s="11" t="inlineStr">
        <is>
          <t>07-Protocols-MCP-A2A</t>
        </is>
      </c>
      <c r="D152" s="11" t="n">
        <v>3</v>
      </c>
      <c r="E152" s="11" t="inlineStr">
        <is>
          <t>https://github.com/modelcontextprotocol/python-sdk</t>
        </is>
      </c>
      <c r="F152" s="12" t="inlineStr">
        <is>
          <t>https://github.com/modelcontextprotocol/python-sdk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/>
      <c r="J152" s="11" t="inlineStr"/>
      <c r="K152" s="11" t="inlineStr"/>
      <c r="L152" s="11" t="inlineStr"/>
      <c r="M152" s="11" t="inlineStr">
        <is>
          <t>Modules/07-Protocols-MCP-A2A/07-04-MCP-Production-Patterns.md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07-04</t>
        </is>
      </c>
      <c r="C153" s="11" t="inlineStr">
        <is>
          <t>07-Protocols-MCP-A2A</t>
        </is>
      </c>
      <c r="D153" s="11" t="n">
        <v>4</v>
      </c>
      <c r="E153" s="11" t="inlineStr">
        <is>
          <t>https://docs.cursor.com/</t>
        </is>
      </c>
      <c r="F153" s="12" t="inlineStr">
        <is>
          <t>https://docs.cursor.com/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/>
      <c r="J153" s="11" t="inlineStr"/>
      <c r="K153" s="11" t="inlineStr"/>
      <c r="L153" s="11" t="inlineStr"/>
      <c r="M153" s="11" t="inlineStr">
        <is>
          <t>Modules/07-Protocols-MCP-A2A/07-04-MCP-Production-Patterns.md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07-04</t>
        </is>
      </c>
      <c r="C154" s="11" t="inlineStr">
        <is>
          <t>07-Protocols-MCP-A2A</t>
        </is>
      </c>
      <c r="D154" s="11" t="n">
        <v>5</v>
      </c>
      <c r="E154" s="11" t="inlineStr">
        <is>
          <t>https://support.anthropic.com/</t>
        </is>
      </c>
      <c r="F154" s="12" t="inlineStr">
        <is>
          <t>https://support.anthropic.com/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/>
      <c r="J154" s="11" t="inlineStr"/>
      <c r="K154" s="11" t="inlineStr"/>
      <c r="L154" s="11" t="inlineStr"/>
      <c r="M154" s="11" t="inlineStr">
        <is>
          <t>Modules/07-Protocols-MCP-A2A/07-04-MCP-Production-Patterns.md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07-04</t>
        </is>
      </c>
      <c r="C155" s="11" t="inlineStr">
        <is>
          <t>07-Protocols-MCP-A2A</t>
        </is>
      </c>
      <c r="D155" s="11" t="n">
        <v>6</v>
      </c>
      <c r="E155" s="11" t="inlineStr">
        <is>
          <t>https://www.openpolicyagent.org/docs/latest/</t>
        </is>
      </c>
      <c r="F155" s="12" t="inlineStr">
        <is>
          <t>https://www.openpolicyagent.org/docs/latest/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/>
      <c r="J155" s="11" t="inlineStr"/>
      <c r="K155" s="11" t="inlineStr"/>
      <c r="L155" s="11" t="inlineStr"/>
      <c r="M155" s="11" t="inlineStr">
        <is>
          <t>Modules/07-Protocols-MCP-A2A/07-04-MCP-Production-Patterns.md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07-04</t>
        </is>
      </c>
      <c r="C156" s="11" t="inlineStr">
        <is>
          <t>07-Protocols-MCP-A2A</t>
        </is>
      </c>
      <c r="D156" s="11" t="n">
        <v>7</v>
      </c>
      <c r="E156" s="11" t="inlineStr">
        <is>
          <t>https://owasp.org/www-project-top-10-for-large-language-model-applications/</t>
        </is>
      </c>
      <c r="F156" s="12" t="inlineStr">
        <is>
          <t>https://owasp.org/www-project-top-10-for-large-language-model-applications/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/>
      <c r="J156" s="11" t="inlineStr"/>
      <c r="K156" s="11" t="inlineStr"/>
      <c r="L156" s="11" t="inlineStr"/>
      <c r="M156" s="11" t="inlineStr">
        <is>
          <t>Modules/07-Protocols-MCP-A2A/07-04-MCP-Production-Patterns.md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08-01</t>
        </is>
      </c>
      <c r="C157" s="11" t="inlineStr">
        <is>
          <t>08-Evaluation-LLMOps</t>
        </is>
      </c>
      <c r="D157" s="11" t="n">
        <v>1</v>
      </c>
      <c r="E157" s="11" t="inlineStr">
        <is>
          <t>DeepEval Getting Started</t>
        </is>
      </c>
      <c r="F157" s="12" t="inlineStr">
        <is>
          <t>https://deepeval.com/docs/getting-started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Intro</t>
        </is>
      </c>
      <c r="J157" s="11" t="inlineStr">
        <is>
          <t>30 min</t>
        </is>
      </c>
      <c r="K157" s="11" t="inlineStr">
        <is>
          <t>GEval + CI</t>
        </is>
      </c>
      <c r="L157" s="11" t="inlineStr">
        <is>
          <t>Metrics; test cases</t>
        </is>
      </c>
      <c r="M157" s="11" t="inlineStr">
        <is>
          <t>Modules/08-Evaluation-LLMOps/08-01-Evaluation-Lifecycle.md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08-01</t>
        </is>
      </c>
      <c r="C158" s="11" t="inlineStr">
        <is>
          <t>08-Evaluation-LLMOps</t>
        </is>
      </c>
      <c r="D158" s="11" t="n">
        <v>2</v>
      </c>
      <c r="E158" s="11" t="inlineStr">
        <is>
          <t>DeepEval GEval</t>
        </is>
      </c>
      <c r="F158" s="12" t="inlineStr">
        <is>
          <t>https://deepeval.com/docs/metrics-llm-evals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Intermediate</t>
        </is>
      </c>
      <c r="J158" s="11" t="inlineStr">
        <is>
          <t>35 min</t>
        </is>
      </c>
      <c r="K158" s="11" t="inlineStr">
        <is>
          <t>Custom criteria</t>
        </is>
      </c>
      <c r="L158" s="11" t="inlineStr">
        <is>
          <t>GEval setup</t>
        </is>
      </c>
      <c r="M158" s="11" t="inlineStr">
        <is>
          <t>Modules/08-Evaluation-LLMOps/08-01-Evaluation-Lifecycle.md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08-01</t>
        </is>
      </c>
      <c r="C159" s="11" t="inlineStr">
        <is>
          <t>08-Evaluation-LLMOps</t>
        </is>
      </c>
      <c r="D159" s="11" t="n">
        <v>3</v>
      </c>
      <c r="E159" s="11" t="inlineStr">
        <is>
          <t>LangSmith Evaluation</t>
        </is>
      </c>
      <c r="F159" s="12" t="inlineStr">
        <is>
          <t>https://docs.smith.langchain.com/evaluation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Intermediate</t>
        </is>
      </c>
      <c r="J159" s="11" t="inlineStr">
        <is>
          <t>40 min</t>
        </is>
      </c>
      <c r="K159" s="11" t="inlineStr">
        <is>
          <t>Datasets + experiments</t>
        </is>
      </c>
      <c r="L159" s="11" t="inlineStr">
        <is>
          <t>Feedback</t>
        </is>
      </c>
      <c r="M159" s="11" t="inlineStr">
        <is>
          <t>Modules/08-Evaluation-LLMOps/08-01-Evaluation-Lifecycle.md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08-01</t>
        </is>
      </c>
      <c r="C160" s="11" t="inlineStr">
        <is>
          <t>08-Evaluation-LLMOps</t>
        </is>
      </c>
      <c r="D160" s="11" t="n">
        <v>4</v>
      </c>
      <c r="E160" s="11" t="inlineStr">
        <is>
          <t>OpenAI Evals Guide</t>
        </is>
      </c>
      <c r="F160" s="12" t="inlineStr">
        <is>
          <t>https://platform.openai.com/docs/guides/evals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Intermediate</t>
        </is>
      </c>
      <c r="J160" s="11" t="inlineStr">
        <is>
          <t>35 min</t>
        </is>
      </c>
      <c r="K160" s="11" t="inlineStr">
        <is>
          <t>Benchmark mindset</t>
        </is>
      </c>
      <c r="L160" s="11" t="inlineStr">
        <is>
          <t>Best practices</t>
        </is>
      </c>
      <c r="M160" s="11" t="inlineStr">
        <is>
          <t>Modules/08-Evaluation-LLMOps/08-01-Evaluation-Lifecycle.md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08-01</t>
        </is>
      </c>
      <c r="C161" s="11" t="inlineStr">
        <is>
          <t>08-Evaluation-LLMOps</t>
        </is>
      </c>
      <c r="D161" s="11" t="n">
        <v>5</v>
      </c>
      <c r="E161" s="11" t="inlineStr">
        <is>
          <t>HELM (Stanford)</t>
        </is>
      </c>
      <c r="F161" s="12" t="inlineStr">
        <is>
          <t>https://crfm.stanford.edu/helm/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Advanced</t>
        </is>
      </c>
      <c r="J161" s="11" t="inlineStr">
        <is>
          <t>60 min</t>
        </is>
      </c>
      <c r="K161" s="11" t="inlineStr">
        <is>
          <t>Holistic eval framing</t>
        </is>
      </c>
      <c r="L161" s="11" t="inlineStr">
        <is>
          <t>Metrics taxonomy</t>
        </is>
      </c>
      <c r="M161" s="11" t="inlineStr">
        <is>
          <t>Modules/08-Evaluation-LLMOps/08-01-Evaluation-Lifecycle.md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08-02</t>
        </is>
      </c>
      <c r="C162" s="11" t="inlineStr">
        <is>
          <t>08-Evaluation-LLMOps</t>
        </is>
      </c>
      <c r="D162" s="11" t="n">
        <v>1</v>
      </c>
      <c r="E162" s="11" t="inlineStr">
        <is>
          <t>LangSmith Docs</t>
        </is>
      </c>
      <c r="F162" s="12" t="inlineStr">
        <is>
          <t>https://docs.smith.langchain.com/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Intro</t>
        </is>
      </c>
      <c r="J162" s="11" t="inlineStr">
        <is>
          <t>40 min</t>
        </is>
      </c>
      <c r="K162" s="11" t="inlineStr">
        <is>
          <t>Trace + eval</t>
        </is>
      </c>
      <c r="L162" s="11" t="inlineStr">
        <is>
          <t>Tracing; datasets</t>
        </is>
      </c>
      <c r="M162" s="11" t="inlineStr">
        <is>
          <t>Modules/08-Evaluation-LLMOps/08-02-Observability-LangSmith-OTel.md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08-02</t>
        </is>
      </c>
      <c r="C163" s="11" t="inlineStr">
        <is>
          <t>08-Evaluation-LLMOps</t>
        </is>
      </c>
      <c r="D163" s="11" t="n">
        <v>2</v>
      </c>
      <c r="E163" s="11" t="inlineStr">
        <is>
          <t>LangSmith Tracing</t>
        </is>
      </c>
      <c r="F163" s="12" t="inlineStr">
        <is>
          <t>https://docs.smith.langchain.com/tracing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Intermediate</t>
        </is>
      </c>
      <c r="J163" s="11" t="inlineStr">
        <is>
          <t>35 min</t>
        </is>
      </c>
      <c r="K163" s="11" t="inlineStr">
        <is>
          <t>Setup</t>
        </is>
      </c>
      <c r="L163" s="11" t="inlineStr">
        <is>
          <t>Projects; runs</t>
        </is>
      </c>
      <c r="M163" s="11" t="inlineStr">
        <is>
          <t>Modules/08-Evaluation-LLMOps/08-02-Observability-LangSmith-OTel.md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08-02</t>
        </is>
      </c>
      <c r="C164" s="11" t="inlineStr">
        <is>
          <t>08-Evaluation-LLMOps</t>
        </is>
      </c>
      <c r="D164" s="11" t="n">
        <v>3</v>
      </c>
      <c r="E164" s="11" t="inlineStr">
        <is>
          <t>OpenTelemetry Docs</t>
        </is>
      </c>
      <c r="F164" s="12" t="inlineStr">
        <is>
          <t>https://opentelemetry.io/docs/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Intermediate</t>
        </is>
      </c>
      <c r="J164" s="11" t="inlineStr">
        <is>
          <t>45 min</t>
        </is>
      </c>
      <c r="K164" s="11" t="inlineStr">
        <is>
          <t>Platform APM</t>
        </is>
      </c>
      <c r="L164" s="11" t="inlineStr">
        <is>
          <t>Concepts; SDK</t>
        </is>
      </c>
      <c r="M164" s="11" t="inlineStr">
        <is>
          <t>Modules/08-Evaluation-LLMOps/08-02-Observability-LangSmith-OTel.md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08-02</t>
        </is>
      </c>
      <c r="C165" s="11" t="inlineStr">
        <is>
          <t>08-Evaluation-LLMOps</t>
        </is>
      </c>
      <c r="D165" s="11" t="n">
        <v>4</v>
      </c>
      <c r="E165" s="11" t="inlineStr">
        <is>
          <t>OTel GenAI Semantics</t>
        </is>
      </c>
      <c r="F165" s="12" t="inlineStr">
        <is>
          <t>https://opentelemetry.io/docs/specs/semconv/gen-ai/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Advanced</t>
        </is>
      </c>
      <c r="J165" s="11" t="inlineStr">
        <is>
          <t>40 min</t>
        </is>
      </c>
      <c r="K165" s="11" t="inlineStr">
        <is>
          <t>Standard attributes</t>
        </is>
      </c>
      <c r="L165" s="11" t="inlineStr">
        <is>
          <t>Span names</t>
        </is>
      </c>
      <c r="M165" s="11" t="inlineStr">
        <is>
          <t>Modules/08-Evaluation-LLMOps/08-02-Observability-LangSmith-OTel.md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08-02</t>
        </is>
      </c>
      <c r="C166" s="11" t="inlineStr">
        <is>
          <t>08-Evaluation-LLMOps</t>
        </is>
      </c>
      <c r="D166" s="11" t="n">
        <v>5</v>
      </c>
      <c r="E166" s="11" t="inlineStr">
        <is>
          <t>OpenLLMetry</t>
        </is>
      </c>
      <c r="F166" s="12" t="inlineStr">
        <is>
          <t>https://github.com/traceloop/openllmetry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Intermediate</t>
        </is>
      </c>
      <c r="J166" s="11" t="inlineStr">
        <is>
          <t>30 min</t>
        </is>
      </c>
      <c r="K166" s="11" t="inlineStr">
        <is>
          <t>Auto-instrumentation</t>
        </is>
      </c>
      <c r="L166" s="11" t="inlineStr">
        <is>
          <t>Integrations</t>
        </is>
      </c>
      <c r="M166" s="11" t="inlineStr">
        <is>
          <t>Modules/08-Evaluation-LLMOps/08-02-Observability-LangSmith-OTel.md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08-03</t>
        </is>
      </c>
      <c r="C167" s="11" t="inlineStr">
        <is>
          <t>08-Evaluation-LLMOps</t>
        </is>
      </c>
      <c r="D167" s="11" t="n">
        <v>1</v>
      </c>
      <c r="E167" s="11" t="inlineStr">
        <is>
          <t>promptfoo Intro</t>
        </is>
      </c>
      <c r="F167" s="12" t="inlineStr">
        <is>
          <t>https://www.promptfoo.dev/docs/intro/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Intro</t>
        </is>
      </c>
      <c r="J167" s="11" t="inlineStr">
        <is>
          <t>25 min</t>
        </is>
      </c>
      <c r="K167" s="11" t="inlineStr">
        <is>
          <t>CI testing</t>
        </is>
      </c>
      <c r="L167" s="11" t="inlineStr">
        <is>
          <t>Config; assertions</t>
        </is>
      </c>
      <c r="M167" s="11" t="inlineStr">
        <is>
          <t>Modules/08-Evaluation-LLMOps/08-03-Guardrails-Ship-Criteria.md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08-03</t>
        </is>
      </c>
      <c r="C168" s="11" t="inlineStr">
        <is>
          <t>08-Evaluation-LLMOps</t>
        </is>
      </c>
      <c r="D168" s="11" t="n">
        <v>2</v>
      </c>
      <c r="E168" s="11" t="inlineStr">
        <is>
          <t>promptfoo Red Team</t>
        </is>
      </c>
      <c r="F168" s="12" t="inlineStr">
        <is>
          <t>https://www.promptfoo.dev/docs/red-team/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Intermediate</t>
        </is>
      </c>
      <c r="J168" s="11" t="inlineStr">
        <is>
          <t>40 min</t>
        </is>
      </c>
      <c r="K168" s="11" t="inlineStr">
        <is>
          <t>Safety gates</t>
        </is>
      </c>
      <c r="L168" s="11" t="inlineStr">
        <is>
          <t>Attack catalogs</t>
        </is>
      </c>
      <c r="M168" s="11" t="inlineStr">
        <is>
          <t>Modules/08-Evaluation-LLMOps/08-03-Guardrails-Ship-Criteria.md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08-03</t>
        </is>
      </c>
      <c r="C169" s="11" t="inlineStr">
        <is>
          <t>08-Evaluation-LLMOps</t>
        </is>
      </c>
      <c r="D169" s="11" t="n">
        <v>3</v>
      </c>
      <c r="E169" s="11" t="inlineStr">
        <is>
          <t>OWASP LLM Top 10</t>
        </is>
      </c>
      <c r="F169" s="12" t="inlineStr">
        <is>
          <t>https://owasp.org/www-project-top-10-for-large-language-model-applications/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60 min</t>
        </is>
      </c>
      <c r="K169" s="11" t="inlineStr">
        <is>
          <t>Threat model</t>
        </is>
      </c>
      <c r="L169" s="11" t="inlineStr">
        <is>
          <t>LLM01; LLM02</t>
        </is>
      </c>
      <c r="M169" s="11" t="inlineStr">
        <is>
          <t>Modules/08-Evaluation-LLMOps/08-03-Guardrails-Ship-Criteria.md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08-03</t>
        </is>
      </c>
      <c r="C170" s="11" t="inlineStr">
        <is>
          <t>08-Evaluation-LLMOps</t>
        </is>
      </c>
      <c r="D170" s="11" t="n">
        <v>4</v>
      </c>
      <c r="E170" s="11" t="inlineStr">
        <is>
          <t>Microsoft Presidio</t>
        </is>
      </c>
      <c r="F170" s="12" t="inlineStr">
        <is>
          <t>https://microsoft.github.io/presidio/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Intermediate</t>
        </is>
      </c>
      <c r="J170" s="11" t="inlineStr">
        <is>
          <t>35 min</t>
        </is>
      </c>
      <c r="K170" s="11" t="inlineStr">
        <is>
          <t>PII detection</t>
        </is>
      </c>
      <c r="L170" s="11" t="inlineStr">
        <is>
          <t>Anonymizer</t>
        </is>
      </c>
      <c r="M170" s="11" t="inlineStr">
        <is>
          <t>Modules/08-Evaluation-LLMOps/08-03-Guardrails-Ship-Criteria.md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08-03</t>
        </is>
      </c>
      <c r="C171" s="11" t="inlineStr">
        <is>
          <t>08-Evaluation-LLMOps</t>
        </is>
      </c>
      <c r="D171" s="11" t="n">
        <v>5</v>
      </c>
      <c r="E171" s="11" t="inlineStr">
        <is>
          <t>OpenAI Moderation</t>
        </is>
      </c>
      <c r="F171" s="12" t="inlineStr">
        <is>
          <t>https://platform.openai.com/docs/guides/moderation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Intro</t>
        </is>
      </c>
      <c r="J171" s="11" t="inlineStr">
        <is>
          <t>20 min</t>
        </is>
      </c>
      <c r="K171" s="11" t="inlineStr">
        <is>
          <t>Output safety</t>
        </is>
      </c>
      <c r="L171" s="11" t="inlineStr">
        <is>
          <t>Categories</t>
        </is>
      </c>
      <c r="M171" s="11" t="inlineStr">
        <is>
          <t>Modules/08-Evaluation-LLMOps/08-03-Guardrails-Ship-Criteria.md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08-03</t>
        </is>
      </c>
      <c r="C172" s="11" t="inlineStr">
        <is>
          <t>08-Evaluation-LLMOps</t>
        </is>
      </c>
      <c r="D172" s="11" t="n">
        <v>6</v>
      </c>
      <c r="E172" s="11" t="inlineStr">
        <is>
          <t>NIST AI RMF</t>
        </is>
      </c>
      <c r="F172" s="12" t="inlineStr">
        <is>
          <t>https://www.nist.gov/itl/ai-risk-management-framework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Advanced</t>
        </is>
      </c>
      <c r="J172" s="11" t="inlineStr">
        <is>
          <t>90 min</t>
        </is>
      </c>
      <c r="K172" s="11" t="inlineStr">
        <is>
          <t>Governance framing</t>
        </is>
      </c>
      <c r="L172" s="11" t="inlineStr">
        <is>
          <t>Map; measure</t>
        </is>
      </c>
      <c r="M172" s="11" t="inlineStr">
        <is>
          <t>Modules/08-Evaluation-LLMOps/08-03-Guardrails-Ship-Criteria.md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09-01</t>
        </is>
      </c>
      <c r="C173" s="11" t="inlineStr">
        <is>
          <t>09-Fine-Tuning</t>
        </is>
      </c>
      <c r="D173" s="11" t="n">
        <v>1</v>
      </c>
      <c r="E173" s="11" t="inlineStr">
        <is>
          <t>Hugging Face PEFT</t>
        </is>
      </c>
      <c r="F173" s="12" t="inlineStr">
        <is>
          <t>https://huggingface.co/docs/peft/index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45 min</t>
        </is>
      </c>
      <c r="K173" s="11" t="inlineStr">
        <is>
          <t>Official API for LoRA/adapters</t>
        </is>
      </c>
      <c r="L173" s="11" t="inlineStr">
        <is>
          <t>Quickstart; LoRA config</t>
        </is>
      </c>
      <c r="M173" s="11" t="inlineStr">
        <is>
          <t>Modules/09-Fine-Tuning/09-01-PEFT-LoRA-QLoRA.md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09-01</t>
        </is>
      </c>
      <c r="C174" s="11" t="inlineStr">
        <is>
          <t>09-Fine-Tuning</t>
        </is>
      </c>
      <c r="D174" s="11" t="n">
        <v>2</v>
      </c>
      <c r="E174" s="11" t="inlineStr">
        <is>
          <t>LoRA paper</t>
        </is>
      </c>
      <c r="F174" s="12" t="inlineStr">
        <is>
          <t>https://arxiv.org/abs/2106.09685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Advanced</t>
        </is>
      </c>
      <c r="J174" s="11" t="inlineStr">
        <is>
          <t>45 min</t>
        </is>
      </c>
      <c r="K174" s="11" t="inlineStr">
        <is>
          <t>Primary low-rank intuition</t>
        </is>
      </c>
      <c r="L174" s="11" t="inlineStr">
        <is>
          <t>§3 Method; §4 Experiments</t>
        </is>
      </c>
      <c r="M174" s="11" t="inlineStr">
        <is>
          <t>Modules/09-Fine-Tuning/09-01-PEFT-LoRA-QLoRA.md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09-01</t>
        </is>
      </c>
      <c r="C175" s="11" t="inlineStr">
        <is>
          <t>09-Fine-Tuning</t>
        </is>
      </c>
      <c r="D175" s="11" t="n">
        <v>3</v>
      </c>
      <c r="E175" s="11" t="inlineStr">
        <is>
          <t>QLoRA paper</t>
        </is>
      </c>
      <c r="F175" s="12" t="inlineStr">
        <is>
          <t>https://arxiv.org/abs/2305.14314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Advanced</t>
        </is>
      </c>
      <c r="J175" s="11" t="inlineStr">
        <is>
          <t>45 min</t>
        </is>
      </c>
      <c r="K175" s="11" t="inlineStr">
        <is>
          <t>4-bit + adapter training</t>
        </is>
      </c>
      <c r="L175" s="11" t="inlineStr">
        <is>
          <t>NF4; double quant</t>
        </is>
      </c>
      <c r="M175" s="11" t="inlineStr">
        <is>
          <t>Modules/09-Fine-Tuning/09-01-PEFT-LoRA-QLoRA.md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09-01</t>
        </is>
      </c>
      <c r="C176" s="11" t="inlineStr">
        <is>
          <t>09-Fine-Tuning</t>
        </is>
      </c>
      <c r="D176" s="11" t="n">
        <v>4</v>
      </c>
      <c r="E176" s="11" t="inlineStr">
        <is>
          <t>TRL SFTTrainer</t>
        </is>
      </c>
      <c r="F176" s="12" t="inlineStr">
        <is>
          <t>https://huggingface.co/docs/trl/sft_trainer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30 min</t>
        </is>
      </c>
      <c r="K176" s="11" t="inlineStr">
        <is>
          <t>Production training loop</t>
        </is>
      </c>
      <c r="L176" s="11" t="inlineStr">
        <is>
          <t>Completion-only loss</t>
        </is>
      </c>
      <c r="M176" s="11" t="inlineStr">
        <is>
          <t>Modules/09-Fine-Tuning/09-01-PEFT-LoRA-QLoRA.md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09-01</t>
        </is>
      </c>
      <c r="C177" s="11" t="inlineStr">
        <is>
          <t>09-Fine-Tuning</t>
        </is>
      </c>
      <c r="D177" s="11" t="n">
        <v>5</v>
      </c>
      <c r="E177" s="11" t="inlineStr">
        <is>
          <t>bitsandbytes</t>
        </is>
      </c>
      <c r="F177" s="12" t="inlineStr">
        <is>
          <t>https://github.com/TimDettmers/bitsandbytes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Intermediate</t>
        </is>
      </c>
      <c r="J177" s="11" t="inlineStr">
        <is>
          <t>20 min</t>
        </is>
      </c>
      <c r="K177" s="11" t="inlineStr">
        <is>
          <t>4-bit load details</t>
        </is>
      </c>
      <c r="L177" s="11" t="inlineStr">
        <is>
          <t>NF4 usage</t>
        </is>
      </c>
      <c r="M177" s="11" t="inlineStr">
        <is>
          <t>Modules/09-Fine-Tuning/09-01-PEFT-LoRA-QLoRA.md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09-01</t>
        </is>
      </c>
      <c r="C178" s="11" t="inlineStr">
        <is>
          <t>09-Fine-Tuning</t>
        </is>
      </c>
      <c r="D178" s="11" t="n">
        <v>6</v>
      </c>
      <c r="E178" s="11" t="inlineStr">
        <is>
          <t>vLLM docs</t>
        </is>
      </c>
      <c r="F178" s="12" t="inlineStr">
        <is>
          <t>https://docs.vllm.ai/en/latest/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>
        <is>
          <t>Intermediate</t>
        </is>
      </c>
      <c r="J178" s="11" t="inlineStr">
        <is>
          <t>30 min</t>
        </is>
      </c>
      <c r="K178" s="11" t="inlineStr">
        <is>
          <t>Inference after merge</t>
        </is>
      </c>
      <c r="L178" s="11" t="inlineStr">
        <is>
          <t>LoRA requests</t>
        </is>
      </c>
      <c r="M178" s="11" t="inlineStr">
        <is>
          <t>Modules/09-Fine-Tuning/09-01-PEFT-LoRA-QLoRA.md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09-02</t>
        </is>
      </c>
      <c r="C179" s="11" t="inlineStr">
        <is>
          <t>09-Fine-Tuning</t>
        </is>
      </c>
      <c r="D179" s="11" t="n">
        <v>1</v>
      </c>
      <c r="E179" s="11" t="inlineStr">
        <is>
          <t>RAG paper</t>
        </is>
      </c>
      <c r="F179" s="12" t="inlineStr">
        <is>
          <t>https://arxiv.org/abs/2005.11401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>
        <is>
          <t>Intermediate</t>
        </is>
      </c>
      <c r="J179" s="11" t="inlineStr">
        <is>
          <t>45 min</t>
        </is>
      </c>
      <c r="K179" s="11" t="inlineStr">
        <is>
          <t>When retrieval beats parametric memory</t>
        </is>
      </c>
      <c r="L179" s="11" t="inlineStr">
        <is>
          <t>Intro; architecture</t>
        </is>
      </c>
      <c r="M179" s="11" t="inlineStr">
        <is>
          <t>Modules/09-Fine-Tuning/09-02-Prompting-vs-RAG-vs-FineTuning.md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09-02</t>
        </is>
      </c>
      <c r="C180" s="11" t="inlineStr">
        <is>
          <t>09-Fine-Tuning</t>
        </is>
      </c>
      <c r="D180" s="11" t="n">
        <v>2</v>
      </c>
      <c r="E180" s="11" t="inlineStr">
        <is>
          <t>LoRA paper</t>
        </is>
      </c>
      <c r="F180" s="12" t="inlineStr">
        <is>
          <t>https://arxiv.org/abs/2106.09685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>
        <is>
          <t>Advanced</t>
        </is>
      </c>
      <c r="J180" s="11" t="inlineStr">
        <is>
          <t>30 min</t>
        </is>
      </c>
      <c r="K180" s="11" t="inlineStr">
        <is>
          <t>When FT is appropriate</t>
        </is>
      </c>
      <c r="L180" s="11" t="inlineStr">
        <is>
          <t>Task results</t>
        </is>
      </c>
      <c r="M180" s="11" t="inlineStr">
        <is>
          <t>Modules/09-Fine-Tuning/09-02-Prompting-vs-RAG-vs-FineTuning.md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09-02</t>
        </is>
      </c>
      <c r="C181" s="11" t="inlineStr">
        <is>
          <t>09-Fine-Tuning</t>
        </is>
      </c>
      <c r="D181" s="11" t="n">
        <v>3</v>
      </c>
      <c r="E181" s="11" t="inlineStr">
        <is>
          <t>HF PEFT</t>
        </is>
      </c>
      <c r="F181" s="12" t="inlineStr">
        <is>
          <t>https://huggingface.co/docs/peft/index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>
        <is>
          <t>Intermediate</t>
        </is>
      </c>
      <c r="J181" s="11" t="inlineStr">
        <is>
          <t>20 min</t>
        </is>
      </c>
      <c r="K181" s="11" t="inlineStr">
        <is>
          <t>LoRA scope</t>
        </is>
      </c>
      <c r="L181" s="11" t="inlineStr">
        <is>
          <t>When to use PEFT</t>
        </is>
      </c>
      <c r="M181" s="11" t="inlineStr">
        <is>
          <t>Modules/09-Fine-Tuning/09-02-Prompting-vs-RAG-vs-FineTuning.md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09-02</t>
        </is>
      </c>
      <c r="C182" s="11" t="inlineStr">
        <is>
          <t>09-Fine-Tuning</t>
        </is>
      </c>
      <c r="D182" s="11" t="n">
        <v>4</v>
      </c>
      <c r="E182" s="11" t="inlineStr">
        <is>
          <t>LangChain RAG concept</t>
        </is>
      </c>
      <c r="F182" s="12" t="inlineStr">
        <is>
          <t>https://python.langchain.com/docs/concepts/rag/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>
        <is>
          <t>Intro</t>
        </is>
      </c>
      <c r="J182" s="11" t="inlineStr">
        <is>
          <t>20 min</t>
        </is>
      </c>
      <c r="K182" s="11" t="inlineStr">
        <is>
          <t>RAG pipeline mental model</t>
        </is>
      </c>
      <c r="L182" s="11" t="inlineStr">
        <is>
          <t>Indexing</t>
        </is>
      </c>
      <c r="M182" s="11" t="inlineStr">
        <is>
          <t>Modules/09-Fine-Tuning/09-02-Prompting-vs-RAG-vs-FineTuning.md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09-02</t>
        </is>
      </c>
      <c r="C183" s="11" t="inlineStr">
        <is>
          <t>09-Fine-Tuning</t>
        </is>
      </c>
      <c r="D183" s="11" t="n">
        <v>5</v>
      </c>
      <c r="E183" s="11" t="inlineStr">
        <is>
          <t>DSPy</t>
        </is>
      </c>
      <c r="F183" s="12" t="inlineStr">
        <is>
          <t>https://dspy.ai/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>
        <is>
          <t>Intermediate</t>
        </is>
      </c>
      <c r="J183" s="11" t="inlineStr">
        <is>
          <t>30 min</t>
        </is>
      </c>
      <c r="K183" s="11" t="inlineStr">
        <is>
          <t>Prompt optimization alternative</t>
        </is>
      </c>
      <c r="L183" s="11" t="inlineStr">
        <is>
          <t>Programs vs prompts</t>
        </is>
      </c>
      <c r="M183" s="11" t="inlineStr">
        <is>
          <t>Modules/09-Fine-Tuning/09-02-Prompting-vs-RAG-vs-FineTuning.md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09-03</t>
        </is>
      </c>
      <c r="C184" s="11" t="inlineStr">
        <is>
          <t>09-Fine-Tuning</t>
        </is>
      </c>
      <c r="D184" s="11" t="n">
        <v>1</v>
      </c>
      <c r="E184" s="11" t="inlineStr">
        <is>
          <t>vLLM Documentation</t>
        </is>
      </c>
      <c r="F184" s="12" t="inlineStr">
        <is>
          <t>https://docs.vllm.ai/en/latest/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>
        <is>
          <t>Intermediate</t>
        </is>
      </c>
      <c r="J184" s="11" t="inlineStr">
        <is>
          <t>45 min</t>
        </is>
      </c>
      <c r="K184" s="11" t="inlineStr">
        <is>
          <t>LoRA + OpenAI server</t>
        </is>
      </c>
      <c r="L184" s="11" t="inlineStr">
        <is>
          <t>LoRA serving</t>
        </is>
      </c>
      <c r="M184" s="11" t="inlineStr">
        <is>
          <t>Modules/09-Fine-Tuning/09-03-Serving-Integrating-FineTuned-Models.md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09-03</t>
        </is>
      </c>
      <c r="C185" s="11" t="inlineStr">
        <is>
          <t>09-Fine-Tuning</t>
        </is>
      </c>
      <c r="D185" s="11" t="n">
        <v>2</v>
      </c>
      <c r="E185" s="11" t="inlineStr">
        <is>
          <t>HF PEFT</t>
        </is>
      </c>
      <c r="F185" s="12" t="inlineStr">
        <is>
          <t>https://huggingface.co/docs/peft/index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Intermediate</t>
        </is>
      </c>
      <c r="J185" s="11" t="inlineStr">
        <is>
          <t>20 min</t>
        </is>
      </c>
      <c r="K185" s="11" t="inlineStr">
        <is>
          <t>Load adapters</t>
        </is>
      </c>
      <c r="L185" s="11" t="inlineStr">
        <is>
          <t>Inference</t>
        </is>
      </c>
      <c r="M185" s="11" t="inlineStr">
        <is>
          <t>Modules/09-Fine-Tuning/09-03-Serving-Integrating-FineTuned-Models.md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09-03</t>
        </is>
      </c>
      <c r="C186" s="11" t="inlineStr">
        <is>
          <t>09-Fine-Tuning</t>
        </is>
      </c>
      <c r="D186" s="11" t="n">
        <v>3</v>
      </c>
      <c r="E186" s="11" t="inlineStr">
        <is>
          <t>vLLM GitHub</t>
        </is>
      </c>
      <c r="F186" s="12" t="inlineStr">
        <is>
          <t>https://github.com/vllm-project/vllm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Intermediate</t>
        </is>
      </c>
      <c r="J186" s="11" t="inlineStr">
        <is>
          <t>20 min</t>
        </is>
      </c>
      <c r="K186" s="11" t="inlineStr">
        <is>
          <t>Flags &amp; examples</t>
        </is>
      </c>
      <c r="L186" s="11" t="inlineStr">
        <is>
          <t>LoRA examples</t>
        </is>
      </c>
      <c r="M186" s="11" t="inlineStr">
        <is>
          <t>Modules/09-Fine-Tuning/09-03-Serving-Integrating-FineTuned-Models.md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09-03</t>
        </is>
      </c>
      <c r="C187" s="11" t="inlineStr">
        <is>
          <t>09-Fine-Tuning</t>
        </is>
      </c>
      <c r="D187" s="11" t="n">
        <v>4</v>
      </c>
      <c r="E187" s="11" t="inlineStr">
        <is>
          <t>FastAPI</t>
        </is>
      </c>
      <c r="F187" s="12" t="inlineStr">
        <is>
          <t>https://fastapi.tiangolo.com/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Intro</t>
        </is>
      </c>
      <c r="J187" s="11" t="inlineStr">
        <is>
          <t>30 min</t>
        </is>
      </c>
      <c r="K187" s="11" t="inlineStr">
        <is>
          <t>Gateway patterns</t>
        </is>
      </c>
      <c r="L187" s="11" t="inlineStr">
        <is>
          <t>Dependencies</t>
        </is>
      </c>
      <c r="M187" s="11" t="inlineStr">
        <is>
          <t>Modules/09-Fine-Tuning/09-03-Serving-Integrating-FineTuned-Models.md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10-01</t>
        </is>
      </c>
      <c r="C188" s="11" t="inlineStr">
        <is>
          <t>10-Production-Infrastructure</t>
        </is>
      </c>
      <c r="D188" s="11" t="n">
        <v>1</v>
      </c>
      <c r="E188" s="11" t="inlineStr">
        <is>
          <t>FastAPI Documentation</t>
        </is>
      </c>
      <c r="F188" s="12" t="inlineStr">
        <is>
          <t>https://fastapi.tiangolo.com/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Intro</t>
        </is>
      </c>
      <c r="J188" s="11" t="inlineStr">
        <is>
          <t>60 min</t>
        </is>
      </c>
      <c r="K188" s="11" t="inlineStr">
        <is>
          <t>Official patterns</t>
        </is>
      </c>
      <c r="L188" s="11" t="inlineStr">
        <is>
          <t>Async; Dependencies; Streaming</t>
        </is>
      </c>
      <c r="M188" s="11" t="inlineStr">
        <is>
          <t>Modules/10-Production-Infrastructure/10-01-FastAPI-AI-Backends.md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10-01</t>
        </is>
      </c>
      <c r="C189" s="11" t="inlineStr">
        <is>
          <t>10-Production-Infrastructure</t>
        </is>
      </c>
      <c r="D189" s="11" t="n">
        <v>2</v>
      </c>
      <c r="E189" s="11" t="inlineStr">
        <is>
          <t>Uvicorn</t>
        </is>
      </c>
      <c r="F189" s="12" t="inlineStr">
        <is>
          <t>https://www.uvicorn.org/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Intro</t>
        </is>
      </c>
      <c r="J189" s="11" t="inlineStr">
        <is>
          <t>15 min</t>
        </is>
      </c>
      <c r="K189" s="11" t="inlineStr">
        <is>
          <t>ASGI server tuning</t>
        </is>
      </c>
      <c r="L189" s="11" t="inlineStr">
        <is>
          <t>Workers</t>
        </is>
      </c>
      <c r="M189" s="11" t="inlineStr">
        <is>
          <t>Modules/10-Production-Infrastructure/10-01-FastAPI-AI-Backends.md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10-01</t>
        </is>
      </c>
      <c r="C190" s="11" t="inlineStr">
        <is>
          <t>10-Production-Infrastructure</t>
        </is>
      </c>
      <c r="D190" s="11" t="n">
        <v>3</v>
      </c>
      <c r="E190" s="11" t="inlineStr">
        <is>
          <t>OpenAI Python SDK</t>
        </is>
      </c>
      <c r="F190" s="12" t="inlineStr">
        <is>
          <t>https://github.com/openai/openai-python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20 min</t>
        </is>
      </c>
      <c r="K190" s="11" t="inlineStr">
        <is>
          <t>Async client</t>
        </is>
      </c>
      <c r="L190" s="11" t="inlineStr">
        <is>
          <t>Streaming</t>
        </is>
      </c>
      <c r="M190" s="11" t="inlineStr">
        <is>
          <t>Modules/10-Production-Infrastructure/10-01-FastAPI-AI-Backends.md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10-02</t>
        </is>
      </c>
      <c r="C191" s="11" t="inlineStr">
        <is>
          <t>10-Production-Infrastructure</t>
        </is>
      </c>
      <c r="D191" s="11" t="n">
        <v>1</v>
      </c>
      <c r="E191" s="11" t="inlineStr">
        <is>
          <t>Kubernetes Documentation</t>
        </is>
      </c>
      <c r="F191" s="12" t="inlineStr">
        <is>
          <t>https://kubernetes.io/docs/home/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90 min</t>
        </is>
      </c>
      <c r="K191" s="11" t="inlineStr">
        <is>
          <t>Official deploy concepts</t>
        </is>
      </c>
      <c r="L191" s="11" t="inlineStr">
        <is>
          <t>Workloads; Services; Probes</t>
        </is>
      </c>
      <c r="M191" s="11" t="inlineStr">
        <is>
          <t>Modules/10-Production-Infrastructure/10-02-Docker-Kubernetes-CICD.md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10-02</t>
        </is>
      </c>
      <c r="C192" s="11" t="inlineStr">
        <is>
          <t>10-Production-Infrastructure</t>
        </is>
      </c>
      <c r="D192" s="11" t="n">
        <v>2</v>
      </c>
      <c r="E192" s="11" t="inlineStr">
        <is>
          <t>Docker Docs</t>
        </is>
      </c>
      <c r="F192" s="12" t="inlineStr">
        <is>
          <t>https://docs.docker.com/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Intro</t>
        </is>
      </c>
      <c r="J192" s="11" t="inlineStr">
        <is>
          <t>45 min</t>
        </is>
      </c>
      <c r="K192" s="11" t="inlineStr">
        <is>
          <t>Image best practices</t>
        </is>
      </c>
      <c r="L192" s="11" t="inlineStr">
        <is>
          <t>Multi-stage builds</t>
        </is>
      </c>
      <c r="M192" s="11" t="inlineStr">
        <is>
          <t>Modules/10-Production-Infrastructure/10-02-Docker-Kubernetes-CICD.md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10-02</t>
        </is>
      </c>
      <c r="C193" s="11" t="inlineStr">
        <is>
          <t>10-Production-Infrastructure</t>
        </is>
      </c>
      <c r="D193" s="11" t="n">
        <v>3</v>
      </c>
      <c r="E193" s="11" t="inlineStr">
        <is>
          <t>vLLM docs</t>
        </is>
      </c>
      <c r="F193" s="12" t="inlineStr">
        <is>
          <t>https://docs.vllm.ai/en/latest/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Intermediate</t>
        </is>
      </c>
      <c r="J193" s="11" t="inlineStr">
        <is>
          <t>30 min</t>
        </is>
      </c>
      <c r="K193" s="11" t="inlineStr">
        <is>
          <t>Container deploy</t>
        </is>
      </c>
      <c r="L193" s="11" t="inlineStr">
        <is>
          <t>Docker</t>
        </is>
      </c>
      <c r="M193" s="11" t="inlineStr">
        <is>
          <t>Modules/10-Production-Infrastructure/10-02-Docker-Kubernetes-CICD.md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10-03</t>
        </is>
      </c>
      <c r="C194" s="11" t="inlineStr">
        <is>
          <t>10-Production-Infrastructure</t>
        </is>
      </c>
      <c r="D194" s="11" t="n">
        <v>1</v>
      </c>
      <c r="E194" s="11" t="inlineStr">
        <is>
          <t>Redis Documentation</t>
        </is>
      </c>
      <c r="F194" s="12" t="inlineStr">
        <is>
          <t>https://redis.io/docs/latest/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Intro</t>
        </is>
      </c>
      <c r="J194" s="11" t="inlineStr">
        <is>
          <t>45 min</t>
        </is>
      </c>
      <c r="K194" s="11" t="inlineStr">
        <is>
          <t>Commands &amp; patterns</t>
        </is>
      </c>
      <c r="L194" s="11" t="inlineStr">
        <is>
          <t>Data types; TTL</t>
        </is>
      </c>
      <c r="M194" s="11" t="inlineStr">
        <is>
          <t>Modules/10-Production-Infrastructure/10-03-Redis-Kafka-Ray.md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10-03</t>
        </is>
      </c>
      <c r="C195" s="11" t="inlineStr">
        <is>
          <t>10-Production-Infrastructure</t>
        </is>
      </c>
      <c r="D195" s="11" t="n">
        <v>2</v>
      </c>
      <c r="E195" s="11" t="inlineStr">
        <is>
          <t>Kafka Documentation</t>
        </is>
      </c>
      <c r="F195" s="12" t="inlineStr">
        <is>
          <t>https://kafka.apache.org/documentation/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Intermediate</t>
        </is>
      </c>
      <c r="J195" s="11" t="inlineStr">
        <is>
          <t>60 min</t>
        </is>
      </c>
      <c r="K195" s="11" t="inlineStr">
        <is>
          <t>Topics &amp; consumer groups</t>
        </is>
      </c>
      <c r="L195" s="11" t="inlineStr">
        <is>
          <t>Introduction</t>
        </is>
      </c>
      <c r="M195" s="11" t="inlineStr">
        <is>
          <t>Modules/10-Production-Infrastructure/10-03-Redis-Kafka-Ray.md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10-03</t>
        </is>
      </c>
      <c r="C196" s="11" t="inlineStr">
        <is>
          <t>10-Production-Infrastructure</t>
        </is>
      </c>
      <c r="D196" s="11" t="n">
        <v>3</v>
      </c>
      <c r="E196" s="11" t="inlineStr">
        <is>
          <t>Ray Documentation</t>
        </is>
      </c>
      <c r="F196" s="12" t="inlineStr">
        <is>
          <t>https://docs.ray.io/en/latest/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Intermediate</t>
        </is>
      </c>
      <c r="J196" s="11" t="inlineStr">
        <is>
          <t>60 min</t>
        </is>
      </c>
      <c r="K196" s="11" t="inlineStr">
        <is>
          <t>Ray Serve &amp; Train</t>
        </is>
      </c>
      <c r="L196" s="11" t="inlineStr">
        <is>
          <t>Getting started</t>
        </is>
      </c>
      <c r="M196" s="11" t="inlineStr">
        <is>
          <t>Modules/10-Production-Infrastructure/10-03-Redis-Kafka-Ray.md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10-04</t>
        </is>
      </c>
      <c r="C197" s="11" t="inlineStr">
        <is>
          <t>10-Production-Infrastructure</t>
        </is>
      </c>
      <c r="D197" s="11" t="n">
        <v>1</v>
      </c>
      <c r="E197" s="11" t="inlineStr">
        <is>
          <t>vLLM Documentation</t>
        </is>
      </c>
      <c r="F197" s="12" t="inlineStr">
        <is>
          <t>https://docs.vllm.ai/en/latest/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Intermediate</t>
        </is>
      </c>
      <c r="J197" s="11" t="inlineStr">
        <is>
          <t>30 min</t>
        </is>
      </c>
      <c r="K197" s="11" t="inlineStr">
        <is>
          <t>Throughput knobs</t>
        </is>
      </c>
      <c r="L197" s="11" t="inlineStr">
        <is>
          <t>Optimization</t>
        </is>
      </c>
      <c r="M197" s="11" t="inlineStr">
        <is>
          <t>Modules/10-Production-Infrastructure/10-04-Cost-Latency-Optimization.md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10-04</t>
        </is>
      </c>
      <c r="C198" s="11" t="inlineStr">
        <is>
          <t>10-Production-Infrastructure</t>
        </is>
      </c>
      <c r="D198" s="11" t="n">
        <v>2</v>
      </c>
      <c r="E198" s="11" t="inlineStr">
        <is>
          <t>OpenAI Pricing</t>
        </is>
      </c>
      <c r="F198" s="12" t="inlineStr">
        <is>
          <t>https://openai.com/api/pricing/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Intro</t>
        </is>
      </c>
      <c r="J198" s="11" t="inlineStr">
        <is>
          <t>15 min</t>
        </is>
      </c>
      <c r="K198" s="11" t="inlineStr">
        <is>
          <t>API unit costs</t>
        </is>
      </c>
      <c r="L198" s="11" t="inlineStr">
        <is>
          <t>Model tiers</t>
        </is>
      </c>
      <c r="M198" s="11" t="inlineStr">
        <is>
          <t>Modules/10-Production-Infrastructure/10-04-Cost-Latency-Optimization.md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11-01</t>
        </is>
      </c>
      <c r="C199" s="11" t="inlineStr">
        <is>
          <t>11-Security-Safety</t>
        </is>
      </c>
      <c r="D199" s="11" t="n">
        <v>1</v>
      </c>
      <c r="E199" s="11" t="inlineStr">
        <is>
          <t>OWASP LLM Top 10</t>
        </is>
      </c>
      <c r="F199" s="12" t="inlineStr">
        <is>
          <t>https://owasp.org/www-project-top-10-for-large-language-model-applications/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Intermediate</t>
        </is>
      </c>
      <c r="J199" s="11" t="inlineStr">
        <is>
          <t>90 min</t>
        </is>
      </c>
      <c r="K199" s="11" t="inlineStr">
        <is>
          <t>Canonical list</t>
        </is>
      </c>
      <c r="L199" s="11" t="inlineStr">
        <is>
          <t>Each risk entry</t>
        </is>
      </c>
      <c r="M199" s="11" t="inlineStr">
        <is>
          <t>Modules/11-Security-Safety/11-01-OWASP-LLM-Top-10.md</t>
        </is>
      </c>
      <c r="N199" s="11" t="inlineStr">
        <is>
          <t>No</t>
        </is>
      </c>
      <c r="O199" s="11" t="inlineStr"/>
    </row>
    <row r="200">
      <c r="A200" s="11" t="inlineStr">
        <is>
          <t>Module</t>
        </is>
      </c>
      <c r="B200" s="11" t="inlineStr">
        <is>
          <t>11-01</t>
        </is>
      </c>
      <c r="C200" s="11" t="inlineStr">
        <is>
          <t>11-Security-Safety</t>
        </is>
      </c>
      <c r="D200" s="11" t="n">
        <v>2</v>
      </c>
      <c r="E200" s="11" t="inlineStr">
        <is>
          <t>NIST AI RMF</t>
        </is>
      </c>
      <c r="F200" s="12" t="inlineStr">
        <is>
          <t>https://www.nist.gov/itl/ai-risk-management-framework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Advanced</t>
        </is>
      </c>
      <c r="J200" s="11" t="inlineStr">
        <is>
          <t>60 min</t>
        </is>
      </c>
      <c r="K200" s="11" t="inlineStr">
        <is>
          <t>Enterprise mapping</t>
        </is>
      </c>
      <c r="L200" s="11" t="inlineStr">
        <is>
          <t>Govern / Map</t>
        </is>
      </c>
      <c r="M200" s="11" t="inlineStr">
        <is>
          <t>Modules/11-Security-Safety/11-01-OWASP-LLM-Top-10.md</t>
        </is>
      </c>
      <c r="N200" s="11" t="inlineStr">
        <is>
          <t>No</t>
        </is>
      </c>
      <c r="O200" s="11" t="inlineStr"/>
    </row>
    <row r="201">
      <c r="A201" s="11" t="inlineStr">
        <is>
          <t>Module</t>
        </is>
      </c>
      <c r="B201" s="11" t="inlineStr">
        <is>
          <t>11-02</t>
        </is>
      </c>
      <c r="C201" s="11" t="inlineStr">
        <is>
          <t>11-Security-Safety</t>
        </is>
      </c>
      <c r="D201" s="11" t="n">
        <v>1</v>
      </c>
      <c r="E201" s="11" t="inlineStr">
        <is>
          <t>OWASP LLM Top 10</t>
        </is>
      </c>
      <c r="F201" s="12" t="inlineStr">
        <is>
          <t>https://owasp.org/www-project-top-10-for-large-language-model-applications/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Intermediate</t>
        </is>
      </c>
      <c r="J201" s="11" t="inlineStr">
        <is>
          <t>60 min</t>
        </is>
      </c>
      <c r="K201" s="11" t="inlineStr">
        <is>
          <t>LLM01 context</t>
        </is>
      </c>
      <c r="L201" s="11" t="inlineStr">
        <is>
          <t>Prompt injection</t>
        </is>
      </c>
      <c r="M201" s="11" t="inlineStr">
        <is>
          <t>Modules/11-Security-Safety/11-02-Prompt-Injection-Defense.md</t>
        </is>
      </c>
      <c r="N201" s="11" t="inlineStr">
        <is>
          <t>No</t>
        </is>
      </c>
      <c r="O201" s="11" t="inlineStr"/>
    </row>
    <row r="202">
      <c r="A202" s="11" t="inlineStr">
        <is>
          <t>Module</t>
        </is>
      </c>
      <c r="B202" s="11" t="inlineStr">
        <is>
          <t>11-02</t>
        </is>
      </c>
      <c r="C202" s="11" t="inlineStr">
        <is>
          <t>11-Security-Safety</t>
        </is>
      </c>
      <c r="D202" s="11" t="n">
        <v>2</v>
      </c>
      <c r="E202" s="11" t="inlineStr">
        <is>
          <t>Promptfoo</t>
        </is>
      </c>
      <c r="F202" s="12" t="inlineStr">
        <is>
          <t>https://www.promptfoo.dev/docs/intro/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Intermediate</t>
        </is>
      </c>
      <c r="J202" s="11" t="inlineStr">
        <is>
          <t>45 min</t>
        </is>
      </c>
      <c r="K202" s="11" t="inlineStr">
        <is>
          <t>Red team CI</t>
        </is>
      </c>
      <c r="L202" s="11" t="inlineStr">
        <is>
          <t>Assertions</t>
        </is>
      </c>
      <c r="M202" s="11" t="inlineStr">
        <is>
          <t>Modules/11-Security-Safety/11-02-Prompt-Injection-Defense.md</t>
        </is>
      </c>
      <c r="N202" s="11" t="inlineStr">
        <is>
          <t>No</t>
        </is>
      </c>
      <c r="O202" s="11" t="inlineStr"/>
    </row>
    <row r="203">
      <c r="A203" s="11" t="inlineStr">
        <is>
          <t>Module</t>
        </is>
      </c>
      <c r="B203" s="11" t="inlineStr">
        <is>
          <t>12-01</t>
        </is>
      </c>
      <c r="C203" s="11" t="inlineStr">
        <is>
          <t>12-Advanced-Topics</t>
        </is>
      </c>
      <c r="D203" s="11" t="n">
        <v>1</v>
      </c>
      <c r="E203" s="11" t="inlineStr">
        <is>
          <t>DeepEval</t>
        </is>
      </c>
      <c r="F203" s="12" t="inlineStr">
        <is>
          <t>https://deepeval.com/docs/getting-started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Intermediate</t>
        </is>
      </c>
      <c r="J203" s="11" t="inlineStr">
        <is>
          <t>40 min</t>
        </is>
      </c>
      <c r="K203" s="11" t="inlineStr">
        <is>
          <t>Faithfulness metrics</t>
        </is>
      </c>
      <c r="L203" s="11" t="inlineStr">
        <is>
          <t>Metrics</t>
        </is>
      </c>
      <c r="M203" s="11" t="inlineStr">
        <is>
          <t>Modules/12-Advanced-Topics/12-01-Research-Agents.md</t>
        </is>
      </c>
      <c r="N203" s="11" t="inlineStr">
        <is>
          <t>No</t>
        </is>
      </c>
      <c r="O203" s="11" t="inlineStr"/>
    </row>
    <row r="204">
      <c r="A204" s="11" t="inlineStr">
        <is>
          <t>Module</t>
        </is>
      </c>
      <c r="B204" s="11" t="inlineStr">
        <is>
          <t>12-02</t>
        </is>
      </c>
      <c r="C204" s="11" t="inlineStr">
        <is>
          <t>12-Advanced-Topics</t>
        </is>
      </c>
      <c r="D204" s="11" t="n">
        <v>1</v>
      </c>
      <c r="E204" s="11" t="inlineStr">
        <is>
          <t>Spider paper</t>
        </is>
      </c>
      <c r="F204" s="12" t="inlineStr">
        <is>
          <t>https://arxiv.org/abs/1809.00635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Advanced</t>
        </is>
      </c>
      <c r="J204" s="11" t="inlineStr">
        <is>
          <t>60 min</t>
        </is>
      </c>
      <c r="K204" s="11" t="inlineStr">
        <is>
          <t>Eval benchmark</t>
        </is>
      </c>
      <c r="L204" s="11" t="inlineStr">
        <is>
          <t>Task definition</t>
        </is>
      </c>
      <c r="M204" s="11" t="inlineStr">
        <is>
          <t>Modules/12-Advanced-Topics/12-02-Text-to-SQL-Agents.md</t>
        </is>
      </c>
      <c r="N204" s="11" t="inlineStr">
        <is>
          <t>No</t>
        </is>
      </c>
      <c r="O204" s="11" t="inlineStr"/>
    </row>
    <row r="205">
      <c r="A205" s="11" t="inlineStr">
        <is>
          <t>Module</t>
        </is>
      </c>
      <c r="B205" s="11" t="inlineStr">
        <is>
          <t>12-02</t>
        </is>
      </c>
      <c r="C205" s="11" t="inlineStr">
        <is>
          <t>12-Advanced-Topics</t>
        </is>
      </c>
      <c r="D205" s="11" t="n">
        <v>2</v>
      </c>
      <c r="E205" s="11" t="inlineStr">
        <is>
          <t>BIRD benchmark</t>
        </is>
      </c>
      <c r="F205" s="12" t="inlineStr">
        <is>
          <t>https://bird-bench.github.io/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Advanced</t>
        </is>
      </c>
      <c r="J205" s="11" t="inlineStr">
        <is>
          <t>45 min</t>
        </is>
      </c>
      <c r="K205" s="11" t="inlineStr">
        <is>
          <t>Dirty data eval</t>
        </is>
      </c>
      <c r="L205" s="11" t="inlineStr">
        <is>
          <t>Leaderboard</t>
        </is>
      </c>
      <c r="M205" s="11" t="inlineStr">
        <is>
          <t>Modules/12-Advanced-Topics/12-02-Text-to-SQL-Agents.md</t>
        </is>
      </c>
      <c r="N205" s="11" t="inlineStr">
        <is>
          <t>No</t>
        </is>
      </c>
      <c r="O205" s="11" t="inlineStr"/>
    </row>
    <row r="206">
      <c r="A206" s="11" t="inlineStr">
        <is>
          <t>Module</t>
        </is>
      </c>
      <c r="B206" s="11" t="inlineStr">
        <is>
          <t>12-04</t>
        </is>
      </c>
      <c r="C206" s="11" t="inlineStr">
        <is>
          <t>12-Advanced-Topics</t>
        </is>
      </c>
      <c r="D206" s="11" t="n">
        <v>1</v>
      </c>
      <c r="E206" s="11" t="inlineStr">
        <is>
          <t>DSPy Documentation</t>
        </is>
      </c>
      <c r="F206" s="12" t="inlineStr">
        <is>
          <t>https://dspy.ai/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Intermediate</t>
        </is>
      </c>
      <c r="J206" s="11" t="inlineStr">
        <is>
          <t>60 min</t>
        </is>
      </c>
      <c r="K206" s="11" t="inlineStr">
        <is>
          <t>Official tutorials</t>
        </is>
      </c>
      <c r="L206" s="11" t="inlineStr">
        <is>
          <t>Signatures; Modules; Optimizers</t>
        </is>
      </c>
      <c r="M206" s="11" t="inlineStr">
        <is>
          <t>Modules/12-Advanced-Topics/12-04-DSPy-Programmatic-Prompting.md</t>
        </is>
      </c>
      <c r="N206" s="11" t="inlineStr">
        <is>
          <t>No</t>
        </is>
      </c>
      <c r="O206" s="11" t="inlineStr"/>
    </row>
    <row r="207">
      <c r="A207" s="11" t="inlineStr">
        <is>
          <t>Module</t>
        </is>
      </c>
      <c r="B207" s="11" t="inlineStr">
        <is>
          <t>12-04</t>
        </is>
      </c>
      <c r="C207" s="11" t="inlineStr">
        <is>
          <t>12-Advanced-Topics</t>
        </is>
      </c>
      <c r="D207" s="11" t="n">
        <v>2</v>
      </c>
      <c r="E207" s="11" t="inlineStr">
        <is>
          <t>DSPy GitHub</t>
        </is>
      </c>
      <c r="F207" s="12" t="inlineStr">
        <is>
          <t>https://github.com/stanfordnlp/dspy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Intermediate</t>
        </is>
      </c>
      <c r="J207" s="11" t="inlineStr">
        <is>
          <t>30 min</t>
        </is>
      </c>
      <c r="K207" s="11" t="inlineStr">
        <is>
          <t>Examples &amp; API</t>
        </is>
      </c>
      <c r="L207" s="11" t="inlineStr">
        <is>
          <t>README; tutorials</t>
        </is>
      </c>
      <c r="M207" s="11" t="inlineStr">
        <is>
          <t>Modules/12-Advanced-Topics/12-04-DSPy-Programmatic-Prompting.md</t>
        </is>
      </c>
      <c r="N207" s="11" t="inlineStr">
        <is>
          <t>No</t>
        </is>
      </c>
      <c r="O207" s="11" t="inlineStr"/>
    </row>
    <row r="208">
      <c r="A208" s="11" t="inlineStr">
        <is>
          <t>Module</t>
        </is>
      </c>
      <c r="B208" s="11" t="inlineStr">
        <is>
          <t>12-05</t>
        </is>
      </c>
      <c r="C208" s="11" t="inlineStr">
        <is>
          <t>12-Advanced-Topics</t>
        </is>
      </c>
      <c r="D208" s="11" t="n">
        <v>1</v>
      </c>
      <c r="E208" s="11" t="inlineStr">
        <is>
          <t>https://docs.cursor.com/</t>
        </is>
      </c>
      <c r="F208" s="12" t="inlineStr">
        <is>
          <t>https://docs.cursor.com/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/>
      <c r="J208" s="11" t="inlineStr"/>
      <c r="K208" s="11" t="inlineStr"/>
      <c r="L208" s="11" t="inlineStr"/>
      <c r="M208" s="11" t="inlineStr">
        <is>
          <t>Modules/12-Advanced-Topics/12-05-AI-Coding-Agents.md</t>
        </is>
      </c>
      <c r="N208" s="11" t="inlineStr">
        <is>
          <t>No</t>
        </is>
      </c>
      <c r="O208" s="11" t="inlineStr"/>
    </row>
    <row r="209">
      <c r="A209" s="11" t="inlineStr">
        <is>
          <t>Module</t>
        </is>
      </c>
      <c r="B209" s="11" t="inlineStr">
        <is>
          <t>12-05</t>
        </is>
      </c>
      <c r="C209" s="11" t="inlineStr">
        <is>
          <t>12-Advanced-Topics</t>
        </is>
      </c>
      <c r="D209" s="11" t="n">
        <v>2</v>
      </c>
      <c r="E209" s="11" t="inlineStr">
        <is>
          <t>https://docs.cursor.com/context/model-context-protocol</t>
        </is>
      </c>
      <c r="F209" s="12" t="inlineStr">
        <is>
          <t>https://docs.cursor.com/context/model-context-protocol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/>
      <c r="J209" s="11" t="inlineStr"/>
      <c r="K209" s="11" t="inlineStr"/>
      <c r="L209" s="11" t="inlineStr"/>
      <c r="M209" s="11" t="inlineStr">
        <is>
          <t>Modules/12-Advanced-Topics/12-05-AI-Coding-Agents.md</t>
        </is>
      </c>
      <c r="N209" s="11" t="inlineStr">
        <is>
          <t>No</t>
        </is>
      </c>
      <c r="O209" s="11" t="inlineStr"/>
    </row>
    <row r="210">
      <c r="A210" s="11" t="inlineStr">
        <is>
          <t>Module</t>
        </is>
      </c>
      <c r="B210" s="11" t="inlineStr">
        <is>
          <t>12-05</t>
        </is>
      </c>
      <c r="C210" s="11" t="inlineStr">
        <is>
          <t>12-Advanced-Topics</t>
        </is>
      </c>
      <c r="D210" s="11" t="n">
        <v>3</v>
      </c>
      <c r="E210" s="11" t="inlineStr">
        <is>
          <t>https://docs.anthropic.com/en/docs/claude-code/overview</t>
        </is>
      </c>
      <c r="F210" s="12" t="inlineStr">
        <is>
          <t>https://docs.anthropic.com/en/docs/claude-code/overview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/>
      <c r="J210" s="11" t="inlineStr"/>
      <c r="K210" s="11" t="inlineStr"/>
      <c r="L210" s="11" t="inlineStr"/>
      <c r="M210" s="11" t="inlineStr">
        <is>
          <t>Modules/12-Advanced-Topics/12-05-AI-Coding-Agents.md</t>
        </is>
      </c>
      <c r="N210" s="11" t="inlineStr">
        <is>
          <t>No</t>
        </is>
      </c>
      <c r="O210" s="11" t="inlineStr"/>
    </row>
    <row r="211">
      <c r="A211" s="11" t="inlineStr">
        <is>
          <t>Module</t>
        </is>
      </c>
      <c r="B211" s="11" t="inlineStr">
        <is>
          <t>12-05</t>
        </is>
      </c>
      <c r="C211" s="11" t="inlineStr">
        <is>
          <t>12-Advanced-Topics</t>
        </is>
      </c>
      <c r="D211" s="11" t="n">
        <v>4</v>
      </c>
      <c r="E211" s="11" t="inlineStr">
        <is>
          <t>https://docs.anthropic.com/en/docs/claude-code/security</t>
        </is>
      </c>
      <c r="F211" s="12" t="inlineStr">
        <is>
          <t>https://docs.anthropic.com/en/docs/claude-code/security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/>
      <c r="J211" s="11" t="inlineStr"/>
      <c r="K211" s="11" t="inlineStr"/>
      <c r="L211" s="11" t="inlineStr"/>
      <c r="M211" s="11" t="inlineStr">
        <is>
          <t>Modules/12-Advanced-Topics/12-05-AI-Coding-Agents.md</t>
        </is>
      </c>
      <c r="N211" s="11" t="inlineStr">
        <is>
          <t>No</t>
        </is>
      </c>
      <c r="O211" s="11" t="inlineStr"/>
    </row>
    <row r="212">
      <c r="A212" s="11" t="inlineStr">
        <is>
          <t>Module</t>
        </is>
      </c>
      <c r="B212" s="11" t="inlineStr">
        <is>
          <t>12-05</t>
        </is>
      </c>
      <c r="C212" s="11" t="inlineStr">
        <is>
          <t>12-Advanced-Topics</t>
        </is>
      </c>
      <c r="D212" s="11" t="n">
        <v>5</v>
      </c>
      <c r="E212" s="11" t="inlineStr">
        <is>
          <t>https://platform.openai.com/docs/codex</t>
        </is>
      </c>
      <c r="F212" s="12" t="inlineStr">
        <is>
          <t>https://platform.openai.com/docs/codex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/>
      <c r="J212" s="11" t="inlineStr"/>
      <c r="K212" s="11" t="inlineStr"/>
      <c r="L212" s="11" t="inlineStr"/>
      <c r="M212" s="11" t="inlineStr">
        <is>
          <t>Modules/12-Advanced-Topics/12-05-AI-Coding-Agents.md</t>
        </is>
      </c>
      <c r="N212" s="11" t="inlineStr">
        <is>
          <t>No</t>
        </is>
      </c>
      <c r="O212" s="11" t="inlineStr"/>
    </row>
    <row r="213">
      <c r="A213" s="11" t="inlineStr">
        <is>
          <t>Module</t>
        </is>
      </c>
      <c r="B213" s="11" t="inlineStr">
        <is>
          <t>12-05</t>
        </is>
      </c>
      <c r="C213" s="11" t="inlineStr">
        <is>
          <t>12-Advanced-Topics</t>
        </is>
      </c>
      <c r="D213" s="11" t="n">
        <v>6</v>
      </c>
      <c r="E213" s="11" t="inlineStr">
        <is>
          <t>https://platform.openai.com/docs/guides/agents</t>
        </is>
      </c>
      <c r="F213" s="12" t="inlineStr">
        <is>
          <t>https://platform.openai.com/docs/guides/agents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/>
      <c r="J213" s="11" t="inlineStr"/>
      <c r="K213" s="11" t="inlineStr"/>
      <c r="L213" s="11" t="inlineStr"/>
      <c r="M213" s="11" t="inlineStr">
        <is>
          <t>Modules/12-Advanced-Topics/12-05-AI-Coding-Agents.md</t>
        </is>
      </c>
      <c r="N213" s="11" t="inlineStr">
        <is>
          <t>No</t>
        </is>
      </c>
      <c r="O213" s="11" t="inlineStr"/>
    </row>
    <row r="214">
      <c r="A214" s="11" t="inlineStr">
        <is>
          <t>Module</t>
        </is>
      </c>
      <c r="B214" s="11" t="inlineStr">
        <is>
          <t>12-05</t>
        </is>
      </c>
      <c r="C214" s="11" t="inlineStr">
        <is>
          <t>12-Advanced-Topics</t>
        </is>
      </c>
      <c r="D214" s="11" t="n">
        <v>7</v>
      </c>
      <c r="E214" s="11" t="inlineStr">
        <is>
          <t>https://modelcontextprotocol.io/</t>
        </is>
      </c>
      <c r="F214" s="12" t="inlineStr">
        <is>
          <t>https://modelcontextprotocol.io/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/>
      <c r="J214" s="11" t="inlineStr"/>
      <c r="K214" s="11" t="inlineStr"/>
      <c r="L214" s="11" t="inlineStr"/>
      <c r="M214" s="11" t="inlineStr">
        <is>
          <t>Modules/12-Advanced-Topics/12-05-AI-Coding-Agents.md</t>
        </is>
      </c>
      <c r="N214" s="11" t="inlineStr">
        <is>
          <t>No</t>
        </is>
      </c>
      <c r="O214" s="11" t="inlineStr"/>
    </row>
    <row r="215">
      <c r="A215" s="11" t="inlineStr">
        <is>
          <t>Module</t>
        </is>
      </c>
      <c r="B215" s="11" t="inlineStr">
        <is>
          <t>12-05</t>
        </is>
      </c>
      <c r="C215" s="11" t="inlineStr">
        <is>
          <t>12-Advanced-Topics</t>
        </is>
      </c>
      <c r="D215" s="11" t="n">
        <v>8</v>
      </c>
      <c r="E215" s="11" t="inlineStr">
        <is>
          <t>https://spec.modelcontextprotocol.io/</t>
        </is>
      </c>
      <c r="F215" s="12" t="inlineStr">
        <is>
          <t>https://spec.modelcontextprotocol.io/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/>
      <c r="J215" s="11" t="inlineStr"/>
      <c r="K215" s="11" t="inlineStr"/>
      <c r="L215" s="11" t="inlineStr"/>
      <c r="M215" s="11" t="inlineStr">
        <is>
          <t>Modules/12-Advanced-Topics/12-05-AI-Coding-Agents.md</t>
        </is>
      </c>
      <c r="N215" s="11" t="inlineStr">
        <is>
          <t>No</t>
        </is>
      </c>
      <c r="O215" s="11" t="inlineStr"/>
    </row>
    <row r="216">
      <c r="A216" s="11" t="inlineStr">
        <is>
          <t>Module</t>
        </is>
      </c>
      <c r="B216" s="11" t="inlineStr">
        <is>
          <t>12-05</t>
        </is>
      </c>
      <c r="C216" s="11" t="inlineStr">
        <is>
          <t>12-Advanced-Topics</t>
        </is>
      </c>
      <c r="D216" s="11" t="n">
        <v>9</v>
      </c>
      <c r="E216" s="11" t="inlineStr">
        <is>
          <t>https://owasp.org/www-project-top-10-for-large-language-model-applications/</t>
        </is>
      </c>
      <c r="F216" s="12" t="inlineStr">
        <is>
          <t>https://owasp.org/www-project-top-10-for-large-language-model-applications/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/>
      <c r="J216" s="11" t="inlineStr"/>
      <c r="K216" s="11" t="inlineStr"/>
      <c r="L216" s="11" t="inlineStr"/>
      <c r="M216" s="11" t="inlineStr">
        <is>
          <t>Modules/12-Advanced-Topics/12-05-AI-Coding-Agents.md</t>
        </is>
      </c>
      <c r="N216" s="11" t="inlineStr">
        <is>
          <t>No</t>
        </is>
      </c>
      <c r="O216" s="11" t="inlineStr"/>
    </row>
    <row r="217">
      <c r="A217" s="11" t="inlineStr">
        <is>
          <t>Module</t>
        </is>
      </c>
      <c r="B217" s="11" t="inlineStr">
        <is>
          <t>12-06</t>
        </is>
      </c>
      <c r="C217" s="11" t="inlineStr">
        <is>
          <t>12-Advanced-Topics</t>
        </is>
      </c>
      <c r="D217" s="11" t="n">
        <v>1</v>
      </c>
      <c r="E217" s="11" t="inlineStr">
        <is>
          <t>https://www.nist.gov/itl/ai-risk-management-framework</t>
        </is>
      </c>
      <c r="F217" s="12" t="inlineStr">
        <is>
          <t>https://www.nist.gov/itl/ai-risk-management-framework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/>
      <c r="J217" s="11" t="inlineStr"/>
      <c r="K217" s="11" t="inlineStr"/>
      <c r="L217" s="11" t="inlineStr"/>
      <c r="M217" s="11" t="inlineStr">
        <is>
          <t>Modules/12-Advanced-Topics/12-06-AI-Product-Thinking.md</t>
        </is>
      </c>
      <c r="N217" s="11" t="inlineStr">
        <is>
          <t>No</t>
        </is>
      </c>
      <c r="O217" s="11" t="inlineStr"/>
    </row>
    <row r="218">
      <c r="A218" s="11" t="inlineStr">
        <is>
          <t>Module</t>
        </is>
      </c>
      <c r="B218" s="11" t="inlineStr">
        <is>
          <t>12-06</t>
        </is>
      </c>
      <c r="C218" s="11" t="inlineStr">
        <is>
          <t>12-Advanced-Topics</t>
        </is>
      </c>
      <c r="D218" s="11" t="n">
        <v>2</v>
      </c>
      <c r="E218" s="11" t="inlineStr">
        <is>
          <t>https://nvlpubs.nist.gov/nistpubs/ai/NIST.AI.100-1.pdf</t>
        </is>
      </c>
      <c r="F218" s="12" t="inlineStr">
        <is>
          <t>https://nvlpubs.nist.gov/nistpubs/ai/NIST.AI.100-1.pdf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/>
      <c r="J218" s="11" t="inlineStr"/>
      <c r="K218" s="11" t="inlineStr"/>
      <c r="L218" s="11" t="inlineStr"/>
      <c r="M218" s="11" t="inlineStr">
        <is>
          <t>Modules/12-Advanced-Topics/12-06-AI-Product-Thinking.md</t>
        </is>
      </c>
      <c r="N218" s="11" t="inlineStr">
        <is>
          <t>No</t>
        </is>
      </c>
      <c r="O218" s="11" t="inlineStr"/>
    </row>
    <row r="219">
      <c r="A219" s="11" t="inlineStr">
        <is>
          <t>Module</t>
        </is>
      </c>
      <c r="B219" s="11" t="inlineStr">
        <is>
          <t>12-06</t>
        </is>
      </c>
      <c r="C219" s="11" t="inlineStr">
        <is>
          <t>12-Advanced-Topics</t>
        </is>
      </c>
      <c r="D219" s="11" t="n">
        <v>3</v>
      </c>
      <c r="E219" s="11" t="inlineStr">
        <is>
          <t>https://oecd.ai/en/ai-principles</t>
        </is>
      </c>
      <c r="F219" s="12" t="inlineStr">
        <is>
          <t>https://oecd.ai/en/ai-principles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/>
      <c r="J219" s="11" t="inlineStr"/>
      <c r="K219" s="11" t="inlineStr"/>
      <c r="L219" s="11" t="inlineStr"/>
      <c r="M219" s="11" t="inlineStr">
        <is>
          <t>Modules/12-Advanced-Topics/12-06-AI-Product-Thinking.md</t>
        </is>
      </c>
      <c r="N219" s="11" t="inlineStr">
        <is>
          <t>No</t>
        </is>
      </c>
      <c r="O219" s="11" t="inlineStr"/>
    </row>
    <row r="220">
      <c r="A220" s="11" t="inlineStr">
        <is>
          <t>Module</t>
        </is>
      </c>
      <c r="B220" s="11" t="inlineStr">
        <is>
          <t>12-06</t>
        </is>
      </c>
      <c r="C220" s="11" t="inlineStr">
        <is>
          <t>12-Advanced-Topics</t>
        </is>
      </c>
      <c r="D220" s="11" t="n">
        <v>4</v>
      </c>
      <c r="E220" s="11" t="inlineStr">
        <is>
          <t>https://pair.withgoogle.com/guidebook/</t>
        </is>
      </c>
      <c r="F220" s="12" t="inlineStr">
        <is>
          <t>https://pair.withgoogle.com/guidebook/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/>
      <c r="J220" s="11" t="inlineStr"/>
      <c r="K220" s="11" t="inlineStr"/>
      <c r="L220" s="11" t="inlineStr"/>
      <c r="M220" s="11" t="inlineStr">
        <is>
          <t>Modules/12-Advanced-Topics/12-06-AI-Product-Thinking.md</t>
        </is>
      </c>
      <c r="N220" s="11" t="inlineStr">
        <is>
          <t>No</t>
        </is>
      </c>
      <c r="O220" s="11" t="inlineStr"/>
    </row>
    <row r="221">
      <c r="A221" s="11" t="inlineStr">
        <is>
          <t>Module</t>
        </is>
      </c>
      <c r="B221" s="11" t="inlineStr">
        <is>
          <t>12-06</t>
        </is>
      </c>
      <c r="C221" s="11" t="inlineStr">
        <is>
          <t>12-Advanced-Topics</t>
        </is>
      </c>
      <c r="D221" s="11" t="n">
        <v>5</v>
      </c>
      <c r="E221" s="11" t="inlineStr">
        <is>
          <t>https://www.microsoft.com/en-us/ai/responsible-ai</t>
        </is>
      </c>
      <c r="F221" s="12" t="inlineStr">
        <is>
          <t>https://www.microsoft.com/en-us/ai/responsible-ai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/>
      <c r="J221" s="11" t="inlineStr"/>
      <c r="K221" s="11" t="inlineStr"/>
      <c r="L221" s="11" t="inlineStr"/>
      <c r="M221" s="11" t="inlineStr">
        <is>
          <t>Modules/12-Advanced-Topics/12-06-AI-Product-Thinking.md</t>
        </is>
      </c>
      <c r="N221" s="11" t="inlineStr">
        <is>
          <t>No</t>
        </is>
      </c>
      <c r="O221" s="11" t="inlineStr"/>
    </row>
    <row r="222">
      <c r="A222" s="11" t="inlineStr">
        <is>
          <t>Module</t>
        </is>
      </c>
      <c r="B222" s="11" t="inlineStr">
        <is>
          <t>12-06</t>
        </is>
      </c>
      <c r="C222" s="11" t="inlineStr">
        <is>
          <t>12-Advanced-Topics</t>
        </is>
      </c>
      <c r="D222" s="11" t="n">
        <v>6</v>
      </c>
      <c r="E222" s="11" t="inlineStr">
        <is>
          <t>https://platform.openai.com/docs/guides/safety-best-practices</t>
        </is>
      </c>
      <c r="F222" s="12" t="inlineStr">
        <is>
          <t>https://platform.openai.com/docs/guides/safety-best-practices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/>
      <c r="J222" s="11" t="inlineStr"/>
      <c r="K222" s="11" t="inlineStr"/>
      <c r="L222" s="11" t="inlineStr"/>
      <c r="M222" s="11" t="inlineStr">
        <is>
          <t>Modules/12-Advanced-Topics/12-06-AI-Product-Thinking.md</t>
        </is>
      </c>
      <c r="N222" s="11" t="inlineStr">
        <is>
          <t>No</t>
        </is>
      </c>
      <c r="O222" s="11" t="inlineStr"/>
    </row>
    <row r="223">
      <c r="A223" s="11" t="inlineStr">
        <is>
          <t>Module</t>
        </is>
      </c>
      <c r="B223" s="11" t="inlineStr">
        <is>
          <t>12-06</t>
        </is>
      </c>
      <c r="C223" s="11" t="inlineStr">
        <is>
          <t>12-Advanced-Topics</t>
        </is>
      </c>
      <c r="D223" s="11" t="n">
        <v>7</v>
      </c>
      <c r="E223" s="11" t="inlineStr">
        <is>
          <t>https://owasp.org/www-project-top-10-for-large-language-model-applications/</t>
        </is>
      </c>
      <c r="F223" s="12" t="inlineStr">
        <is>
          <t>https://owasp.org/www-project-top-10-for-large-language-model-applications/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/>
      <c r="J223" s="11" t="inlineStr"/>
      <c r="K223" s="11" t="inlineStr"/>
      <c r="L223" s="11" t="inlineStr"/>
      <c r="M223" s="11" t="inlineStr">
        <is>
          <t>Modules/12-Advanced-Topics/12-06-AI-Product-Thinking.md</t>
        </is>
      </c>
      <c r="N223" s="11" t="inlineStr">
        <is>
          <t>No</t>
        </is>
      </c>
      <c r="O223" s="11" t="inlineStr"/>
    </row>
    <row r="224">
      <c r="A224" s="11" t="inlineStr">
        <is>
          <t>Module</t>
        </is>
      </c>
      <c r="B224" s="11" t="inlineStr">
        <is>
          <t>12-06</t>
        </is>
      </c>
      <c r="C224" s="11" t="inlineStr">
        <is>
          <t>12-Advanced-Topics</t>
        </is>
      </c>
      <c r="D224" s="11" t="n">
        <v>8</v>
      </c>
      <c r="E224" s="11" t="inlineStr">
        <is>
          <t>https://eur-lex.europa.eu/eli/reg/2024/1689/oj</t>
        </is>
      </c>
      <c r="F224" s="12" t="inlineStr">
        <is>
          <t>https://eur-lex.europa.eu/eli/reg/2024/1689/oj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/>
      <c r="J224" s="11" t="inlineStr"/>
      <c r="K224" s="11" t="inlineStr"/>
      <c r="L224" s="11" t="inlineStr"/>
      <c r="M224" s="11" t="inlineStr">
        <is>
          <t>Modules/12-Advanced-Topics/12-06-AI-Product-Thinking.md</t>
        </is>
      </c>
      <c r="N224" s="11" t="inlineStr">
        <is>
          <t>No</t>
        </is>
      </c>
      <c r="O224" s="11" t="inlineStr"/>
    </row>
    <row r="225">
      <c r="A225" s="11" t="inlineStr">
        <is>
          <t>System Design</t>
        </is>
      </c>
      <c r="B225" s="11" t="inlineStr">
        <is>
          <t>AI-Coding-Assistant</t>
        </is>
      </c>
      <c r="C225" s="11" t="inlineStr">
        <is>
          <t>System Design</t>
        </is>
      </c>
      <c r="D225" s="11" t="n">
        <v>1</v>
      </c>
      <c r="E225" s="11" t="inlineStr">
        <is>
          <t>GitHub Copilot Docs</t>
        </is>
      </c>
      <c r="F225" s="12" t="inlineStr">
        <is>
          <t>https://docs.github.com/en/copilot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Product + privacy modes</t>
        </is>
      </c>
      <c r="J225" s="11" t="inlineStr"/>
      <c r="K225" s="11" t="inlineStr"/>
      <c r="L225" s="11" t="inlineStr"/>
      <c r="M225" s="11" t="inlineStr">
        <is>
          <t>System Design/Design-AI-Coding-Assistant.md</t>
        </is>
      </c>
      <c r="N225" s="11" t="inlineStr">
        <is>
          <t>No</t>
        </is>
      </c>
      <c r="O225" s="11" t="inlineStr"/>
    </row>
    <row r="226">
      <c r="A226" s="11" t="inlineStr">
        <is>
          <t>System Design</t>
        </is>
      </c>
      <c r="B226" s="11" t="inlineStr">
        <is>
          <t>AI-Coding-Assistant</t>
        </is>
      </c>
      <c r="C226" s="11" t="inlineStr">
        <is>
          <t>System Design</t>
        </is>
      </c>
      <c r="D226" s="11" t="n">
        <v>2</v>
      </c>
      <c r="E226" s="11" t="inlineStr">
        <is>
          <t>Cursor Docs</t>
        </is>
      </c>
      <c r="F226" s="12" t="inlineStr">
        <is>
          <t>https://cursor.com/docs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Agent + codebase context</t>
        </is>
      </c>
      <c r="J226" s="11" t="inlineStr"/>
      <c r="K226" s="11" t="inlineStr"/>
      <c r="L226" s="11" t="inlineStr"/>
      <c r="M226" s="11" t="inlineStr">
        <is>
          <t>System Design/Design-AI-Coding-Assistant.md</t>
        </is>
      </c>
      <c r="N226" s="11" t="inlineStr">
        <is>
          <t>No</t>
        </is>
      </c>
      <c r="O226" s="11" t="inlineStr"/>
    </row>
    <row r="227">
      <c r="A227" s="11" t="inlineStr">
        <is>
          <t>System Design</t>
        </is>
      </c>
      <c r="B227" s="11" t="inlineStr">
        <is>
          <t>AI-Coding-Assistant</t>
        </is>
      </c>
      <c r="C227" s="11" t="inlineStr">
        <is>
          <t>System Design</t>
        </is>
      </c>
      <c r="D227" s="11" t="n">
        <v>3</v>
      </c>
      <c r="E227" s="11" t="inlineStr">
        <is>
          <t>Code Llama paper</t>
        </is>
      </c>
      <c r="F227" s="12" t="inlineStr">
        <is>
          <t>https://arxiv.org/abs/2308.12950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FIM training</t>
        </is>
      </c>
      <c r="J227" s="11" t="inlineStr"/>
      <c r="K227" s="11" t="inlineStr"/>
      <c r="L227" s="11" t="inlineStr"/>
      <c r="M227" s="11" t="inlineStr">
        <is>
          <t>System Design/Design-AI-Coding-Assistant.md</t>
        </is>
      </c>
      <c r="N227" s="11" t="inlineStr">
        <is>
          <t>No</t>
        </is>
      </c>
      <c r="O227" s="11" t="inlineStr"/>
    </row>
    <row r="228">
      <c r="A228" s="11" t="inlineStr">
        <is>
          <t>System Design</t>
        </is>
      </c>
      <c r="B228" s="11" t="inlineStr">
        <is>
          <t>AI-Coding-Assistant</t>
        </is>
      </c>
      <c r="C228" s="11" t="inlineStr">
        <is>
          <t>System Design</t>
        </is>
      </c>
      <c r="D228" s="11" t="n">
        <v>4</v>
      </c>
      <c r="E228" s="11" t="inlineStr">
        <is>
          <t>SWE-bench</t>
        </is>
      </c>
      <c r="F228" s="12" t="inlineStr">
        <is>
          <t>https://www.swebench.com/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Agent eval benchmark</t>
        </is>
      </c>
      <c r="J228" s="11" t="inlineStr"/>
      <c r="K228" s="11" t="inlineStr"/>
      <c r="L228" s="11" t="inlineStr"/>
      <c r="M228" s="11" t="inlineStr">
        <is>
          <t>System Design/Design-AI-Coding-Assistant.md</t>
        </is>
      </c>
      <c r="N228" s="11" t="inlineStr">
        <is>
          <t>No</t>
        </is>
      </c>
      <c r="O228" s="11" t="inlineStr"/>
    </row>
    <row r="229">
      <c r="A229" s="11" t="inlineStr">
        <is>
          <t>System Design</t>
        </is>
      </c>
      <c r="B229" s="11" t="inlineStr">
        <is>
          <t>AI-Coding-Assistant</t>
        </is>
      </c>
      <c r="C229" s="11" t="inlineStr">
        <is>
          <t>System Design</t>
        </is>
      </c>
      <c r="D229" s="11" t="n">
        <v>5</v>
      </c>
      <c r="E229" s="11" t="inlineStr">
        <is>
          <t>Tree-sitter</t>
        </is>
      </c>
      <c r="F229" s="12" t="inlineStr">
        <is>
          <t>https://tree-sitter.github.io/tree-sitter/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Parsing for chunking</t>
        </is>
      </c>
      <c r="J229" s="11" t="inlineStr"/>
      <c r="K229" s="11" t="inlineStr"/>
      <c r="L229" s="11" t="inlineStr"/>
      <c r="M229" s="11" t="inlineStr">
        <is>
          <t>System Design/Design-AI-Coding-Assistant.md</t>
        </is>
      </c>
      <c r="N229" s="11" t="inlineStr">
        <is>
          <t>No</t>
        </is>
      </c>
      <c r="O229" s="11" t="inlineStr"/>
    </row>
    <row r="230">
      <c r="A230" s="11" t="inlineStr">
        <is>
          <t>System Design</t>
        </is>
      </c>
      <c r="B230" s="11" t="inlineStr">
        <is>
          <t>AI-Customer-Support</t>
        </is>
      </c>
      <c r="C230" s="11" t="inlineStr">
        <is>
          <t>System Design</t>
        </is>
      </c>
      <c r="D230" s="11" t="n">
        <v>1</v>
      </c>
      <c r="E230" s="11" t="inlineStr">
        <is>
          <t>Zendesk AI</t>
        </is>
      </c>
      <c r="F230" s="12" t="inlineStr">
        <is>
          <t>https://www.zendesk.com/service/ai/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Industry patterns</t>
        </is>
      </c>
      <c r="J230" s="11" t="inlineStr"/>
      <c r="K230" s="11" t="inlineStr"/>
      <c r="L230" s="11" t="inlineStr"/>
      <c r="M230" s="11" t="inlineStr">
        <is>
          <t>System Design/Design-AI-Customer-Support.md</t>
        </is>
      </c>
      <c r="N230" s="11" t="inlineStr">
        <is>
          <t>No</t>
        </is>
      </c>
      <c r="O230" s="11" t="inlineStr"/>
    </row>
    <row r="231">
      <c r="A231" s="11" t="inlineStr">
        <is>
          <t>System Design</t>
        </is>
      </c>
      <c r="B231" s="11" t="inlineStr">
        <is>
          <t>AI-Customer-Support</t>
        </is>
      </c>
      <c r="C231" s="11" t="inlineStr">
        <is>
          <t>System Design</t>
        </is>
      </c>
      <c r="D231" s="11" t="n">
        <v>2</v>
      </c>
      <c r="E231" s="11" t="inlineStr">
        <is>
          <t>Intercom Fin</t>
        </is>
      </c>
      <c r="F231" s="12" t="inlineStr">
        <is>
          <t>https://www.intercom.com/fin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RAG support agent</t>
        </is>
      </c>
      <c r="J231" s="11" t="inlineStr"/>
      <c r="K231" s="11" t="inlineStr"/>
      <c r="L231" s="11" t="inlineStr"/>
      <c r="M231" s="11" t="inlineStr">
        <is>
          <t>System Design/Design-AI-Customer-Support.md</t>
        </is>
      </c>
      <c r="N231" s="11" t="inlineStr">
        <is>
          <t>No</t>
        </is>
      </c>
      <c r="O231" s="11" t="inlineStr"/>
    </row>
    <row r="232">
      <c r="A232" s="11" t="inlineStr">
        <is>
          <t>System Design</t>
        </is>
      </c>
      <c r="B232" s="11" t="inlineStr">
        <is>
          <t>AI-Customer-Support</t>
        </is>
      </c>
      <c r="C232" s="11" t="inlineStr">
        <is>
          <t>System Design</t>
        </is>
      </c>
      <c r="D232" s="11" t="n">
        <v>3</v>
      </c>
      <c r="E232" s="11" t="inlineStr">
        <is>
          <t>Salesforce Einstein Service</t>
        </is>
      </c>
      <c r="F232" s="12" t="inlineStr">
        <is>
          <t>https://www.salesforce.com/service/ai/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CRM-integrated support</t>
        </is>
      </c>
      <c r="J232" s="11" t="inlineStr"/>
      <c r="K232" s="11" t="inlineStr"/>
      <c r="L232" s="11" t="inlineStr"/>
      <c r="M232" s="11" t="inlineStr">
        <is>
          <t>System Design/Design-AI-Customer-Support.md</t>
        </is>
      </c>
      <c r="N232" s="11" t="inlineStr">
        <is>
          <t>No</t>
        </is>
      </c>
      <c r="O232" s="11" t="inlineStr"/>
    </row>
    <row r="233">
      <c r="A233" s="11" t="inlineStr">
        <is>
          <t>System Design</t>
        </is>
      </c>
      <c r="B233" s="11" t="inlineStr">
        <is>
          <t>AI-Customer-Support</t>
        </is>
      </c>
      <c r="C233" s="11" t="inlineStr">
        <is>
          <t>System Design</t>
        </is>
      </c>
      <c r="D233" s="11" t="n">
        <v>4</v>
      </c>
      <c r="E233" s="11" t="inlineStr">
        <is>
          <t>OWASP LLM Top 10</t>
        </is>
      </c>
      <c r="F233" s="12" t="inlineStr">
        <is>
          <t>https://owasp.org/www-project-top-10-for-large-language-model-applications/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Excessive agency</t>
        </is>
      </c>
      <c r="J233" s="11" t="inlineStr"/>
      <c r="K233" s="11" t="inlineStr"/>
      <c r="L233" s="11" t="inlineStr"/>
      <c r="M233" s="11" t="inlineStr">
        <is>
          <t>System Design/Design-AI-Customer-Support.md</t>
        </is>
      </c>
      <c r="N233" s="11" t="inlineStr">
        <is>
          <t>No</t>
        </is>
      </c>
      <c r="O233" s="11" t="inlineStr"/>
    </row>
    <row r="234">
      <c r="A234" s="11" t="inlineStr">
        <is>
          <t>System Design</t>
        </is>
      </c>
      <c r="B234" s="11" t="inlineStr">
        <is>
          <t>AI-Customer-Support</t>
        </is>
      </c>
      <c r="C234" s="11" t="inlineStr">
        <is>
          <t>System Design</t>
        </is>
      </c>
      <c r="D234" s="11" t="n">
        <v>5</v>
      </c>
      <c r="E234" s="11" t="inlineStr">
        <is>
          <t>ITIL escalation</t>
        </is>
      </c>
      <c r="F234" s="12" t="inlineStr">
        <is>
          <t>https://www.axelos.com/certifications/itil-service-management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SLA/queue concepts</t>
        </is>
      </c>
      <c r="J234" s="11" t="inlineStr"/>
      <c r="K234" s="11" t="inlineStr"/>
      <c r="L234" s="11" t="inlineStr"/>
      <c r="M234" s="11" t="inlineStr">
        <is>
          <t>System Design/Design-AI-Customer-Support.md</t>
        </is>
      </c>
      <c r="N234" s="11" t="inlineStr">
        <is>
          <t>No</t>
        </is>
      </c>
      <c r="O234" s="11" t="inlineStr"/>
    </row>
    <row r="235">
      <c r="A235" s="11" t="inlineStr">
        <is>
          <t>System Design</t>
        </is>
      </c>
      <c r="B235" s="11" t="inlineStr">
        <is>
          <t>AI-Research-Agent</t>
        </is>
      </c>
      <c r="C235" s="11" t="inlineStr">
        <is>
          <t>System Design</t>
        </is>
      </c>
      <c r="D235" s="11" t="n">
        <v>1</v>
      </c>
      <c r="E235" s="11" t="inlineStr">
        <is>
          <t>OpenAI Deep Research</t>
        </is>
      </c>
      <c r="F235" s="12" t="inlineStr">
        <is>
          <t>https://openai.com/index/introducing-deep-research/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Product reference</t>
        </is>
      </c>
      <c r="J235" s="11" t="inlineStr"/>
      <c r="K235" s="11" t="inlineStr"/>
      <c r="L235" s="11" t="inlineStr"/>
      <c r="M235" s="11" t="inlineStr">
        <is>
          <t>System Design/Design-AI-Research-Agent.md</t>
        </is>
      </c>
      <c r="N235" s="11" t="inlineStr">
        <is>
          <t>No</t>
        </is>
      </c>
      <c r="O235" s="11" t="inlineStr"/>
    </row>
    <row r="236">
      <c r="A236" s="11" t="inlineStr">
        <is>
          <t>System Design</t>
        </is>
      </c>
      <c r="B236" s="11" t="inlineStr">
        <is>
          <t>AI-Research-Agent</t>
        </is>
      </c>
      <c r="C236" s="11" t="inlineStr">
        <is>
          <t>System Design</t>
        </is>
      </c>
      <c r="D236" s="11" t="n">
        <v>2</v>
      </c>
      <c r="E236" s="11" t="inlineStr">
        <is>
          <t>Gemini Deep Research</t>
        </is>
      </c>
      <c r="F236" s="12" t="inlineStr">
        <is>
          <t>https://blog.google/products/gemini/google-gemini-deep-research/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Alternative architecture cues</t>
        </is>
      </c>
      <c r="J236" s="11" t="inlineStr"/>
      <c r="K236" s="11" t="inlineStr"/>
      <c r="L236" s="11" t="inlineStr"/>
      <c r="M236" s="11" t="inlineStr">
        <is>
          <t>System Design/Design-AI-Research-Agent.md</t>
        </is>
      </c>
      <c r="N236" s="11" t="inlineStr">
        <is>
          <t>No</t>
        </is>
      </c>
      <c r="O236" s="11" t="inlineStr"/>
    </row>
    <row r="237">
      <c r="A237" s="11" t="inlineStr">
        <is>
          <t>System Design</t>
        </is>
      </c>
      <c r="B237" s="11" t="inlineStr">
        <is>
          <t>AI-Research-Agent</t>
        </is>
      </c>
      <c r="C237" s="11" t="inlineStr">
        <is>
          <t>System Design</t>
        </is>
      </c>
      <c r="D237" s="11" t="n">
        <v>3</v>
      </c>
      <c r="E237" s="11" t="inlineStr">
        <is>
          <t>ReAct</t>
        </is>
      </c>
      <c r="F237" s="12" t="inlineStr">
        <is>
          <t>https://arxiv.org/abs/2210.03629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>
        <is>
          <t>Tool loop foundation</t>
        </is>
      </c>
      <c r="J237" s="11" t="inlineStr"/>
      <c r="K237" s="11" t="inlineStr"/>
      <c r="L237" s="11" t="inlineStr"/>
      <c r="M237" s="11" t="inlineStr">
        <is>
          <t>System Design/Design-AI-Research-Agent.md</t>
        </is>
      </c>
      <c r="N237" s="11" t="inlineStr">
        <is>
          <t>No</t>
        </is>
      </c>
      <c r="O237" s="11" t="inlineStr"/>
    </row>
    <row r="238">
      <c r="A238" s="11" t="inlineStr">
        <is>
          <t>System Design</t>
        </is>
      </c>
      <c r="B238" s="11" t="inlineStr">
        <is>
          <t>AI-Research-Agent</t>
        </is>
      </c>
      <c r="C238" s="11" t="inlineStr">
        <is>
          <t>System Design</t>
        </is>
      </c>
      <c r="D238" s="11" t="n">
        <v>4</v>
      </c>
      <c r="E238" s="11" t="inlineStr">
        <is>
          <t>LangGraph persistence</t>
        </is>
      </c>
      <c r="F238" s="12" t="inlineStr">
        <is>
          <t>https://langchain-ai.github.io/langgraph/concepts/persistence/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>
        <is>
          <t>Checkpoint patterns</t>
        </is>
      </c>
      <c r="J238" s="11" t="inlineStr"/>
      <c r="K238" s="11" t="inlineStr"/>
      <c r="L238" s="11" t="inlineStr"/>
      <c r="M238" s="11" t="inlineStr">
        <is>
          <t>System Design/Design-AI-Research-Agent.md</t>
        </is>
      </c>
      <c r="N238" s="11" t="inlineStr">
        <is>
          <t>No</t>
        </is>
      </c>
      <c r="O238" s="11" t="inlineStr"/>
    </row>
    <row r="239">
      <c r="A239" s="11" t="inlineStr">
        <is>
          <t>System Design</t>
        </is>
      </c>
      <c r="B239" s="11" t="inlineStr">
        <is>
          <t>AI-Research-Agent</t>
        </is>
      </c>
      <c r="C239" s="11" t="inlineStr">
        <is>
          <t>System Design</t>
        </is>
      </c>
      <c r="D239" s="11" t="n">
        <v>5</v>
      </c>
      <c r="E239" s="11" t="inlineStr">
        <is>
          <t>WebArena / BrowseComp evals</t>
        </is>
      </c>
      <c r="F239" s="12" t="inlineStr">
        <is>
          <t>https://arxiv.org/abs/2404.05990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>
        <is>
          <t>Agent browsing benchmarks</t>
        </is>
      </c>
      <c r="J239" s="11" t="inlineStr"/>
      <c r="K239" s="11" t="inlineStr"/>
      <c r="L239" s="11" t="inlineStr"/>
      <c r="M239" s="11" t="inlineStr">
        <is>
          <t>System Design/Design-AI-Research-Agent.md</t>
        </is>
      </c>
      <c r="N239" s="11" t="inlineStr">
        <is>
          <t>No</t>
        </is>
      </c>
      <c r="O239" s="11" t="inlineStr"/>
    </row>
    <row r="240">
      <c r="A240" s="11" t="inlineStr">
        <is>
          <t>System Design</t>
        </is>
      </c>
      <c r="B240" s="11" t="inlineStr">
        <is>
          <t>AI-Search-Engine</t>
        </is>
      </c>
      <c r="C240" s="11" t="inlineStr">
        <is>
          <t>System Design</t>
        </is>
      </c>
      <c r="D240" s="11" t="n">
        <v>1</v>
      </c>
      <c r="E240" s="11" t="inlineStr">
        <is>
          <t>Perplexity API</t>
        </is>
      </c>
      <c r="F240" s="12" t="inlineStr">
        <is>
          <t>https://docs.perplexity.ai/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>
        <is>
          <t>Answer + search API patterns</t>
        </is>
      </c>
      <c r="J240" s="11" t="inlineStr"/>
      <c r="K240" s="11" t="inlineStr"/>
      <c r="L240" s="11" t="inlineStr"/>
      <c r="M240" s="11" t="inlineStr">
        <is>
          <t>System Design/Design-AI-Search-Engine.md</t>
        </is>
      </c>
      <c r="N240" s="11" t="inlineStr">
        <is>
          <t>No</t>
        </is>
      </c>
      <c r="O240" s="11" t="inlineStr"/>
    </row>
    <row r="241">
      <c r="A241" s="11" t="inlineStr">
        <is>
          <t>System Design</t>
        </is>
      </c>
      <c r="B241" s="11" t="inlineStr">
        <is>
          <t>AI-Search-Engine</t>
        </is>
      </c>
      <c r="C241" s="11" t="inlineStr">
        <is>
          <t>System Design</t>
        </is>
      </c>
      <c r="D241" s="11" t="n">
        <v>2</v>
      </c>
      <c r="E241" s="11" t="inlineStr">
        <is>
          <t>Bing Web Search API</t>
        </is>
      </c>
      <c r="F241" s="12" t="inlineStr">
        <is>
          <t>https://learn.microsoft.com/en-us/bing/search-apis/bing-web-search/overview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>
        <is>
          <t>Hybrid retrieval reference</t>
        </is>
      </c>
      <c r="J241" s="11" t="inlineStr"/>
      <c r="K241" s="11" t="inlineStr"/>
      <c r="L241" s="11" t="inlineStr"/>
      <c r="M241" s="11" t="inlineStr">
        <is>
          <t>System Design/Design-AI-Search-Engine.md</t>
        </is>
      </c>
      <c r="N241" s="11" t="inlineStr">
        <is>
          <t>No</t>
        </is>
      </c>
      <c r="O241" s="11" t="inlineStr"/>
    </row>
    <row r="242">
      <c r="A242" s="11" t="inlineStr">
        <is>
          <t>System Design</t>
        </is>
      </c>
      <c r="B242" s="11" t="inlineStr">
        <is>
          <t>AI-Search-Engine</t>
        </is>
      </c>
      <c r="C242" s="11" t="inlineStr">
        <is>
          <t>System Design</t>
        </is>
      </c>
      <c r="D242" s="11" t="n">
        <v>3</v>
      </c>
      <c r="E242" s="11" t="inlineStr">
        <is>
          <t>Google Research: RAG</t>
        </is>
      </c>
      <c r="F242" s="12" t="inlineStr">
        <is>
          <t>https://research.google/blog/dear-google-search-its-time-for-rag/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>
        <is>
          <t>Industry RAG direction</t>
        </is>
      </c>
      <c r="J242" s="11" t="inlineStr"/>
      <c r="K242" s="11" t="inlineStr"/>
      <c r="L242" s="11" t="inlineStr"/>
      <c r="M242" s="11" t="inlineStr">
        <is>
          <t>System Design/Design-AI-Search-Engine.md</t>
        </is>
      </c>
      <c r="N242" s="11" t="inlineStr">
        <is>
          <t>No</t>
        </is>
      </c>
      <c r="O242" s="11" t="inlineStr"/>
    </row>
    <row r="243">
      <c r="A243" s="11" t="inlineStr">
        <is>
          <t>System Design</t>
        </is>
      </c>
      <c r="B243" s="11" t="inlineStr">
        <is>
          <t>AI-Search-Engine</t>
        </is>
      </c>
      <c r="C243" s="11" t="inlineStr">
        <is>
          <t>System Design</t>
        </is>
      </c>
      <c r="D243" s="11" t="n">
        <v>4</v>
      </c>
      <c r="E243" s="11" t="inlineStr">
        <is>
          <t>Freshness in search</t>
        </is>
      </c>
      <c r="F243" s="12" t="inlineStr">
        <is>
          <t>https://arxiv.org/abs/1206.2081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>
        <is>
          <t>Crawl scheduling concepts</t>
        </is>
      </c>
      <c r="J243" s="11" t="inlineStr"/>
      <c r="K243" s="11" t="inlineStr"/>
      <c r="L243" s="11" t="inlineStr"/>
      <c r="M243" s="11" t="inlineStr">
        <is>
          <t>System Design/Design-AI-Search-Engine.md</t>
        </is>
      </c>
      <c r="N243" s="11" t="inlineStr">
        <is>
          <t>No</t>
        </is>
      </c>
      <c r="O243" s="11" t="inlineStr"/>
    </row>
    <row r="244">
      <c r="A244" s="11" t="inlineStr">
        <is>
          <t>System Design</t>
        </is>
      </c>
      <c r="B244" s="11" t="inlineStr">
        <is>
          <t>AI-Search-Engine</t>
        </is>
      </c>
      <c r="C244" s="11" t="inlineStr">
        <is>
          <t>System Design</t>
        </is>
      </c>
      <c r="D244" s="11" t="n">
        <v>5</v>
      </c>
      <c r="E244" s="11" t="inlineStr">
        <is>
          <t>OWASP LLM Top 10</t>
        </is>
      </c>
      <c r="F244" s="12" t="inlineStr">
        <is>
          <t>https://owasp.org/www-project-top-10-for-large-language-model-applications/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>
        <is>
          <t>Untrusted web content</t>
        </is>
      </c>
      <c r="J244" s="11" t="inlineStr"/>
      <c r="K244" s="11" t="inlineStr"/>
      <c r="L244" s="11" t="inlineStr"/>
      <c r="M244" s="11" t="inlineStr">
        <is>
          <t>System Design/Design-AI-Search-Engine.md</t>
        </is>
      </c>
      <c r="N244" s="11" t="inlineStr">
        <is>
          <t>No</t>
        </is>
      </c>
      <c r="O244" s="11" t="inlineStr"/>
    </row>
    <row r="245">
      <c r="A245" s="11" t="inlineStr">
        <is>
          <t>System Design</t>
        </is>
      </c>
      <c r="B245" s="11" t="inlineStr">
        <is>
          <t>AI-Voice-Assistant</t>
        </is>
      </c>
      <c r="C245" s="11" t="inlineStr">
        <is>
          <t>System Design</t>
        </is>
      </c>
      <c r="D245" s="11" t="n">
        <v>1</v>
      </c>
      <c r="E245" s="11" t="inlineStr">
        <is>
          <t>OpenAI Realtime API</t>
        </is>
      </c>
      <c r="F245" s="12" t="inlineStr">
        <is>
          <t>https://platform.openai.com/docs/guides/realtime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>
        <is>
          <t>S2S / voice API patterns</t>
        </is>
      </c>
      <c r="J245" s="11" t="inlineStr"/>
      <c r="K245" s="11" t="inlineStr"/>
      <c r="L245" s="11" t="inlineStr"/>
      <c r="M245" s="11" t="inlineStr">
        <is>
          <t>System Design/Design-AI-Voice-Assistant.md</t>
        </is>
      </c>
      <c r="N245" s="11" t="inlineStr">
        <is>
          <t>No</t>
        </is>
      </c>
      <c r="O245" s="11" t="inlineStr"/>
    </row>
    <row r="246">
      <c r="A246" s="11" t="inlineStr">
        <is>
          <t>System Design</t>
        </is>
      </c>
      <c r="B246" s="11" t="inlineStr">
        <is>
          <t>AI-Voice-Assistant</t>
        </is>
      </c>
      <c r="C246" s="11" t="inlineStr">
        <is>
          <t>System Design</t>
        </is>
      </c>
      <c r="D246" s="11" t="n">
        <v>2</v>
      </c>
      <c r="E246" s="11" t="inlineStr">
        <is>
          <t>WebRTC fundamentals</t>
        </is>
      </c>
      <c r="F246" s="12" t="inlineStr">
        <is>
          <t>https://webrtc.org/getting-started/overview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>
        <is>
          <t>Transport layer</t>
        </is>
      </c>
      <c r="J246" s="11" t="inlineStr"/>
      <c r="K246" s="11" t="inlineStr"/>
      <c r="L246" s="11" t="inlineStr"/>
      <c r="M246" s="11" t="inlineStr">
        <is>
          <t>System Design/Design-AI-Voice-Assistant.md</t>
        </is>
      </c>
      <c r="N246" s="11" t="inlineStr">
        <is>
          <t>No</t>
        </is>
      </c>
      <c r="O246" s="11" t="inlineStr"/>
    </row>
    <row r="247">
      <c r="A247" s="11" t="inlineStr">
        <is>
          <t>System Design</t>
        </is>
      </c>
      <c r="B247" s="11" t="inlineStr">
        <is>
          <t>AI-Voice-Assistant</t>
        </is>
      </c>
      <c r="C247" s="11" t="inlineStr">
        <is>
          <t>System Design</t>
        </is>
      </c>
      <c r="D247" s="11" t="n">
        <v>3</v>
      </c>
      <c r="E247" s="11" t="inlineStr">
        <is>
          <t>Whisper paper</t>
        </is>
      </c>
      <c r="F247" s="12" t="inlineStr">
        <is>
          <t>https://arxiv.org/abs/2212.04356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>
        <is>
          <t>ASR baseline</t>
        </is>
      </c>
      <c r="J247" s="11" t="inlineStr"/>
      <c r="K247" s="11" t="inlineStr"/>
      <c r="L247" s="11" t="inlineStr"/>
      <c r="M247" s="11" t="inlineStr">
        <is>
          <t>System Design/Design-AI-Voice-Assistant.md</t>
        </is>
      </c>
      <c r="N247" s="11" t="inlineStr">
        <is>
          <t>No</t>
        </is>
      </c>
      <c r="O247" s="11" t="inlineStr"/>
    </row>
    <row r="248">
      <c r="A248" s="11" t="inlineStr">
        <is>
          <t>System Design</t>
        </is>
      </c>
      <c r="B248" s="11" t="inlineStr">
        <is>
          <t>AI-Voice-Assistant</t>
        </is>
      </c>
      <c r="C248" s="11" t="inlineStr">
        <is>
          <t>System Design</t>
        </is>
      </c>
      <c r="D248" s="11" t="n">
        <v>4</v>
      </c>
      <c r="E248" s="11" t="inlineStr">
        <is>
          <t>Moshi (S2S)</t>
        </is>
      </c>
      <c r="F248" s="12" t="inlineStr">
        <is>
          <t>https://arxiv.org/abs/2406.11776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>
        <is>
          <t>Full-duplex speech models</t>
        </is>
      </c>
      <c r="J248" s="11" t="inlineStr"/>
      <c r="K248" s="11" t="inlineStr"/>
      <c r="L248" s="11" t="inlineStr"/>
      <c r="M248" s="11" t="inlineStr">
        <is>
          <t>System Design/Design-AI-Voice-Assistant.md</t>
        </is>
      </c>
      <c r="N248" s="11" t="inlineStr">
        <is>
          <t>No</t>
        </is>
      </c>
      <c r="O248" s="11" t="inlineStr"/>
    </row>
    <row r="249">
      <c r="A249" s="11" t="inlineStr">
        <is>
          <t>System Design</t>
        </is>
      </c>
      <c r="B249" s="11" t="inlineStr">
        <is>
          <t>AI-Voice-Assistant</t>
        </is>
      </c>
      <c r="C249" s="11" t="inlineStr">
        <is>
          <t>System Design</t>
        </is>
      </c>
      <c r="D249" s="11" t="n">
        <v>5</v>
      </c>
      <c r="E249" s="11" t="inlineStr">
        <is>
          <t>Google duplex architecture talks</t>
        </is>
      </c>
      <c r="F249" s="12" t="inlineStr">
        <is>
          <t>https://ai.googleblog.com/2018/05/duplex-ai-system-for-natural-conversation.html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>
        <is>
          <t>Latency + barge-in history</t>
        </is>
      </c>
      <c r="J249" s="11" t="inlineStr"/>
      <c r="K249" s="11" t="inlineStr"/>
      <c r="L249" s="11" t="inlineStr"/>
      <c r="M249" s="11" t="inlineStr">
        <is>
          <t>System Design/Design-AI-Voice-Assistant.md</t>
        </is>
      </c>
      <c r="N249" s="11" t="inlineStr">
        <is>
          <t>No</t>
        </is>
      </c>
      <c r="O249" s="11" t="inlineStr"/>
    </row>
    <row r="250">
      <c r="A250" s="11" t="inlineStr">
        <is>
          <t>System Design</t>
        </is>
      </c>
      <c r="B250" s="11" t="inlineStr">
        <is>
          <t>ChatGPT</t>
        </is>
      </c>
      <c r="C250" s="11" t="inlineStr">
        <is>
          <t>System Design</t>
        </is>
      </c>
      <c r="D250" s="11" t="n">
        <v>1</v>
      </c>
      <c r="E250" s="11" t="inlineStr">
        <is>
          <t>OpenAI API Docs</t>
        </is>
      </c>
      <c r="F250" s="12" t="inlineStr">
        <is>
          <t>https://developers.openai.com/api/docs/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>
        <is>
          <t>Real API shapes for chat/tools</t>
        </is>
      </c>
      <c r="J250" s="11" t="inlineStr"/>
      <c r="K250" s="11" t="inlineStr"/>
      <c r="L250" s="11" t="inlineStr"/>
      <c r="M250" s="11" t="inlineStr">
        <is>
          <t>System Design/Design-ChatGPT.md</t>
        </is>
      </c>
      <c r="N250" s="11" t="inlineStr">
        <is>
          <t>No</t>
        </is>
      </c>
      <c r="O250" s="11" t="inlineStr"/>
    </row>
    <row r="251">
      <c r="A251" s="11" t="inlineStr">
        <is>
          <t>System Design</t>
        </is>
      </c>
      <c r="B251" s="11" t="inlineStr">
        <is>
          <t>ChatGPT</t>
        </is>
      </c>
      <c r="C251" s="11" t="inlineStr">
        <is>
          <t>System Design</t>
        </is>
      </c>
      <c r="D251" s="11" t="n">
        <v>2</v>
      </c>
      <c r="E251" s="11" t="inlineStr">
        <is>
          <t>OWASP LLM Top 10</t>
        </is>
      </c>
      <c r="F251" s="12" t="inlineStr">
        <is>
          <t>https://owasp.org/www-project-top-10-for-large-language-model-applications/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>
        <is>
          <t>Safety requirements</t>
        </is>
      </c>
      <c r="J251" s="11" t="inlineStr"/>
      <c r="K251" s="11" t="inlineStr"/>
      <c r="L251" s="11" t="inlineStr"/>
      <c r="M251" s="11" t="inlineStr">
        <is>
          <t>System Design/Design-ChatGPT.md</t>
        </is>
      </c>
      <c r="N251" s="11" t="inlineStr">
        <is>
          <t>No</t>
        </is>
      </c>
      <c r="O251" s="11" t="inlineStr"/>
    </row>
    <row r="252">
      <c r="A252" s="11" t="inlineStr">
        <is>
          <t>System Design</t>
        </is>
      </c>
      <c r="B252" s="11" t="inlineStr">
        <is>
          <t>ChatGPT</t>
        </is>
      </c>
      <c r="C252" s="11" t="inlineStr">
        <is>
          <t>System Design</t>
        </is>
      </c>
      <c r="D252" s="11" t="n">
        <v>3</v>
      </c>
      <c r="E252" s="11" t="inlineStr">
        <is>
          <t>LangGraph HITL / persistence</t>
        </is>
      </c>
      <c r="F252" s="12" t="inlineStr">
        <is>
          <t>https://langchain-ai.github.io/langgraph/concepts/high_level/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>
        <is>
          <t>Stateful orchestration patterns</t>
        </is>
      </c>
      <c r="J252" s="11" t="inlineStr"/>
      <c r="K252" s="11" t="inlineStr"/>
      <c r="L252" s="11" t="inlineStr"/>
      <c r="M252" s="11" t="inlineStr">
        <is>
          <t>System Design/Design-ChatGPT.md</t>
        </is>
      </c>
      <c r="N252" s="11" t="inlineStr">
        <is>
          <t>No</t>
        </is>
      </c>
      <c r="O252" s="11" t="inlineStr"/>
    </row>
    <row r="253">
      <c r="A253" s="11" t="inlineStr">
        <is>
          <t>System Design</t>
        </is>
      </c>
      <c r="B253" s="11" t="inlineStr">
        <is>
          <t>ChatGPT</t>
        </is>
      </c>
      <c r="C253" s="11" t="inlineStr">
        <is>
          <t>System Design</t>
        </is>
      </c>
      <c r="D253" s="11" t="n">
        <v>4</v>
      </c>
      <c r="E253" s="11" t="inlineStr">
        <is>
          <t>ReAct paper</t>
        </is>
      </c>
      <c r="F253" s="12" t="inlineStr">
        <is>
          <t>https://arxiv.org/abs/2210.03629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>
        <is>
          <t>Tool-loop reasoning</t>
        </is>
      </c>
      <c r="J253" s="11" t="inlineStr"/>
      <c r="K253" s="11" t="inlineStr"/>
      <c r="L253" s="11" t="inlineStr"/>
      <c r="M253" s="11" t="inlineStr">
        <is>
          <t>System Design/Design-ChatGPT.md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Claude</t>
        </is>
      </c>
      <c r="C254" s="11" t="inlineStr">
        <is>
          <t>System Design</t>
        </is>
      </c>
      <c r="D254" s="11" t="n">
        <v>1</v>
      </c>
      <c r="E254" s="11" t="inlineStr">
        <is>
          <t>Constitutional AI paper</t>
        </is>
      </c>
      <c r="F254" s="12" t="inlineStr">
        <is>
          <t>https://arxiv.org/abs/2212.08073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Core alignment approach</t>
        </is>
      </c>
      <c r="J254" s="11" t="inlineStr"/>
      <c r="K254" s="11" t="inlineStr"/>
      <c r="L254" s="11" t="inlineStr"/>
      <c r="M254" s="11" t="inlineStr">
        <is>
          <t>System Design/Design-Claude.md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Claude</t>
        </is>
      </c>
      <c r="C255" s="11" t="inlineStr">
        <is>
          <t>System Design</t>
        </is>
      </c>
      <c r="D255" s="11" t="n">
        <v>2</v>
      </c>
      <c r="E255" s="11" t="inlineStr">
        <is>
          <t>Anthropic Messages API</t>
        </is>
      </c>
      <c r="F255" s="12" t="inlineStr">
        <is>
          <t>https://docs.anthropic.com/en/api/messages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Real API shapes, streaming, tools</t>
        </is>
      </c>
      <c r="J255" s="11" t="inlineStr"/>
      <c r="K255" s="11" t="inlineStr"/>
      <c r="L255" s="11" t="inlineStr"/>
      <c r="M255" s="11" t="inlineStr">
        <is>
          <t>System Design/Design-Claude.md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Claude</t>
        </is>
      </c>
      <c r="C256" s="11" t="inlineStr">
        <is>
          <t>System Design</t>
        </is>
      </c>
      <c r="D256" s="11" t="n">
        <v>3</v>
      </c>
      <c r="E256" s="11" t="inlineStr">
        <is>
          <t>Prompt caching docs</t>
        </is>
      </c>
      <c r="F256" s="12" t="inlineStr">
        <is>
          <t>https://docs.anthropic.com/en/docs/build-with-claude/prompt-caching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Cost/latency architecture</t>
        </is>
      </c>
      <c r="J256" s="11" t="inlineStr"/>
      <c r="K256" s="11" t="inlineStr"/>
      <c r="L256" s="11" t="inlineStr"/>
      <c r="M256" s="11" t="inlineStr">
        <is>
          <t>System Design/Design-Claude.md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Claude</t>
        </is>
      </c>
      <c r="C257" s="11" t="inlineStr">
        <is>
          <t>System Design</t>
        </is>
      </c>
      <c r="D257" s="11" t="n">
        <v>4</v>
      </c>
      <c r="E257" s="11" t="inlineStr">
        <is>
          <t>Model Context Protocol</t>
        </is>
      </c>
      <c r="F257" s="12" t="inlineStr">
        <is>
          <t>https://modelcontextprotocol.io/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Tool server standard</t>
        </is>
      </c>
      <c r="J257" s="11" t="inlineStr"/>
      <c r="K257" s="11" t="inlineStr"/>
      <c r="L257" s="11" t="inlineStr"/>
      <c r="M257" s="11" t="inlineStr">
        <is>
          <t>System Design/Design-Claude.md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Claude</t>
        </is>
      </c>
      <c r="C258" s="11" t="inlineStr">
        <is>
          <t>System Design</t>
        </is>
      </c>
      <c r="D258" s="11" t="n">
        <v>5</v>
      </c>
      <c r="E258" s="11" t="inlineStr">
        <is>
          <t>OWASP LLM Top 10</t>
        </is>
      </c>
      <c r="F258" s="12" t="inlineStr">
        <is>
          <t>https://owasp.org/www-project-top-10-for-large-language-model-applications/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Security requirements</t>
        </is>
      </c>
      <c r="J258" s="11" t="inlineStr"/>
      <c r="K258" s="11" t="inlineStr"/>
      <c r="L258" s="11" t="inlineStr"/>
      <c r="M258" s="11" t="inlineStr">
        <is>
          <t>System Design/Design-Claude.md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Claude</t>
        </is>
      </c>
      <c r="C259" s="11" t="inlineStr">
        <is>
          <t>System Design</t>
        </is>
      </c>
      <c r="D259" s="11" t="n">
        <v>6</v>
      </c>
      <c r="E259" s="11" t="inlineStr">
        <is>
          <t>ReAct paper</t>
        </is>
      </c>
      <c r="F259" s="12" t="inlineStr">
        <is>
          <t>https://arxiv.org/abs/2210.03629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Tool-loop reasoning</t>
        </is>
      </c>
      <c r="J259" s="11" t="inlineStr"/>
      <c r="K259" s="11" t="inlineStr"/>
      <c r="L259" s="11" t="inlineStr"/>
      <c r="M259" s="11" t="inlineStr">
        <is>
          <t>System Design/Design-Claude.md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Cursor</t>
        </is>
      </c>
      <c r="C260" s="11" t="inlineStr">
        <is>
          <t>System Design</t>
        </is>
      </c>
      <c r="D260" s="11" t="n">
        <v>1</v>
      </c>
      <c r="E260" s="11" t="inlineStr">
        <is>
          <t>Cursor Docs</t>
        </is>
      </c>
      <c r="F260" s="12" t="inlineStr">
        <is>
          <t>https://docs.cursor.com/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Product capabilities, rules, privacy</t>
        </is>
      </c>
      <c r="J260" s="11" t="inlineStr"/>
      <c r="K260" s="11" t="inlineStr"/>
      <c r="L260" s="11" t="inlineStr"/>
      <c r="M260" s="11" t="inlineStr">
        <is>
          <t>System Design/Design-Cursor.md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Cursor</t>
        </is>
      </c>
      <c r="C261" s="11" t="inlineStr">
        <is>
          <t>System Design</t>
        </is>
      </c>
      <c r="D261" s="11" t="n">
        <v>2</v>
      </c>
      <c r="E261" s="11" t="inlineStr">
        <is>
          <t>Model Context Protocol</t>
        </is>
      </c>
      <c r="F261" s="12" t="inlineStr">
        <is>
          <t>https://modelcontextprotocol.io/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Tool server integration pattern</t>
        </is>
      </c>
      <c r="J261" s="11" t="inlineStr"/>
      <c r="K261" s="11" t="inlineStr"/>
      <c r="L261" s="11" t="inlineStr"/>
      <c r="M261" s="11" t="inlineStr">
        <is>
          <t>System Design/Design-Cursor.md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Cursor</t>
        </is>
      </c>
      <c r="C262" s="11" t="inlineStr">
        <is>
          <t>System Design</t>
        </is>
      </c>
      <c r="D262" s="11" t="n">
        <v>3</v>
      </c>
      <c r="E262" s="11" t="inlineStr">
        <is>
          <t>ReAct paper</t>
        </is>
      </c>
      <c r="F262" s="12" t="inlineStr">
        <is>
          <t>https://arxiv.org/abs/2210.03629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Agent tool loop</t>
        </is>
      </c>
      <c r="J262" s="11" t="inlineStr"/>
      <c r="K262" s="11" t="inlineStr"/>
      <c r="L262" s="11" t="inlineStr"/>
      <c r="M262" s="11" t="inlineStr">
        <is>
          <t>System Design/Design-Cursor.md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Cursor</t>
        </is>
      </c>
      <c r="C263" s="11" t="inlineStr">
        <is>
          <t>System Design</t>
        </is>
      </c>
      <c r="D263" s="11" t="n">
        <v>4</v>
      </c>
      <c r="E263" s="11" t="inlineStr">
        <is>
          <t>RAG survey</t>
        </is>
      </c>
      <c r="F263" s="12" t="inlineStr">
        <is>
          <t>https://arxiv.org/abs/2312.10997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Retrieval architecture baseline</t>
        </is>
      </c>
      <c r="J263" s="11" t="inlineStr"/>
      <c r="K263" s="11" t="inlineStr"/>
      <c r="L263" s="11" t="inlineStr"/>
      <c r="M263" s="11" t="inlineStr">
        <is>
          <t>System Design/Design-Cursor.md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Cursor</t>
        </is>
      </c>
      <c r="C264" s="11" t="inlineStr">
        <is>
          <t>System Design</t>
        </is>
      </c>
      <c r="D264" s="11" t="n">
        <v>5</v>
      </c>
      <c r="E264" s="11" t="inlineStr">
        <is>
          <t>VS Code Extension API</t>
        </is>
      </c>
      <c r="F264" s="12" t="inlineStr">
        <is>
          <t>https://code.visualstudio.com/api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IDE integration constraints</t>
        </is>
      </c>
      <c r="J264" s="11" t="inlineStr"/>
      <c r="K264" s="11" t="inlineStr"/>
      <c r="L264" s="11" t="inlineStr"/>
      <c r="M264" s="11" t="inlineStr">
        <is>
          <t>System Design/Design-Cursor.md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Cursor</t>
        </is>
      </c>
      <c r="C265" s="11" t="inlineStr">
        <is>
          <t>System Design</t>
        </is>
      </c>
      <c r="D265" s="11" t="n">
        <v>6</v>
      </c>
      <c r="E265" s="11" t="inlineStr">
        <is>
          <t>Tree-sitter</t>
        </is>
      </c>
      <c r="F265" s="12" t="inlineStr">
        <is>
          <t>https://tree-sitter.github.io/tree-sitter/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AST-aware parsing for chunking</t>
        </is>
      </c>
      <c r="J265" s="11" t="inlineStr"/>
      <c r="K265" s="11" t="inlineStr"/>
      <c r="L265" s="11" t="inlineStr"/>
      <c r="M265" s="11" t="inlineStr">
        <is>
          <t>System Design/Design-Cursor.md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GitHub-Copilot</t>
        </is>
      </c>
      <c r="C266" s="11" t="inlineStr">
        <is>
          <t>System Design</t>
        </is>
      </c>
      <c r="D266" s="11" t="n">
        <v>1</v>
      </c>
      <c r="E266" s="11" t="inlineStr">
        <is>
          <t>GitHub Copilot Docs</t>
        </is>
      </c>
      <c r="F266" s="12" t="inlineStr">
        <is>
          <t>https://docs.github.com/en/copilot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Product surfaces, policies</t>
        </is>
      </c>
      <c r="J266" s="11" t="inlineStr"/>
      <c r="K266" s="11" t="inlineStr"/>
      <c r="L266" s="11" t="inlineStr"/>
      <c r="M266" s="11" t="inlineStr">
        <is>
          <t>System Design/Design-GitHub-Copilot.md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GitHub-Copilot</t>
        </is>
      </c>
      <c r="C267" s="11" t="inlineStr">
        <is>
          <t>System Design</t>
        </is>
      </c>
      <c r="D267" s="11" t="n">
        <v>2</v>
      </c>
      <c r="E267" s="11" t="inlineStr">
        <is>
          <t>InCoder (FIM) paper</t>
        </is>
      </c>
      <c r="F267" s="12" t="inlineStr">
        <is>
          <t>https://arxiv.org/abs/2204.05999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Fill-in-the-middle foundation</t>
        </is>
      </c>
      <c r="J267" s="11" t="inlineStr"/>
      <c r="K267" s="11" t="inlineStr"/>
      <c r="L267" s="11" t="inlineStr"/>
      <c r="M267" s="11" t="inlineStr">
        <is>
          <t>System Design/Design-GitHub-Copilot.md</t>
        </is>
      </c>
      <c r="N267" s="11" t="inlineStr">
        <is>
          <t>No</t>
        </is>
      </c>
      <c r="O267" s="11" t="inlineStr"/>
    </row>
    <row r="268">
      <c r="A268" s="11" t="inlineStr">
        <is>
          <t>System Design</t>
        </is>
      </c>
      <c r="B268" s="11" t="inlineStr">
        <is>
          <t>GitHub-Copilot</t>
        </is>
      </c>
      <c r="C268" s="11" t="inlineStr">
        <is>
          <t>System Design</t>
        </is>
      </c>
      <c r="D268" s="11" t="n">
        <v>3</v>
      </c>
      <c r="E268" s="11" t="inlineStr">
        <is>
          <t>Code Llama paper</t>
        </is>
      </c>
      <c r="F268" s="12" t="inlineStr">
        <is>
          <t>https://arxiv.org/abs/2308.12950</t>
        </is>
      </c>
      <c r="G268" s="12">
        <f>IF(F268="","",HYPERLINK(F268,"Open link"))</f>
        <v/>
      </c>
      <c r="H268" s="12">
        <f>IF(M268="","",IF(Config!$B$6="GitHub",HYPERLINK(Config!$B$5&amp;M268,"Open parent doc"),HYPERLINK("file://"&amp;Config!$B$4&amp;M268,"Open parent doc")))</f>
        <v/>
      </c>
      <c r="I268" s="11" t="inlineStr">
        <is>
          <t>FIM-capable code models</t>
        </is>
      </c>
      <c r="J268" s="11" t="inlineStr"/>
      <c r="K268" s="11" t="inlineStr"/>
      <c r="L268" s="11" t="inlineStr"/>
      <c r="M268" s="11" t="inlineStr">
        <is>
          <t>System Design/Design-GitHub-Copilot.md</t>
        </is>
      </c>
      <c r="N268" s="11" t="inlineStr">
        <is>
          <t>No</t>
        </is>
      </c>
      <c r="O268" s="11" t="inlineStr"/>
    </row>
    <row r="269">
      <c r="A269" s="11" t="inlineStr">
        <is>
          <t>System Design</t>
        </is>
      </c>
      <c r="B269" s="11" t="inlineStr">
        <is>
          <t>GitHub-Copilot</t>
        </is>
      </c>
      <c r="C269" s="11" t="inlineStr">
        <is>
          <t>System Design</t>
        </is>
      </c>
      <c r="D269" s="11" t="n">
        <v>4</v>
      </c>
      <c r="E269" s="11" t="inlineStr">
        <is>
          <t>vLLM PagedAttention</t>
        </is>
      </c>
      <c r="F269" s="12" t="inlineStr">
        <is>
          <t>https://arxiv.org/abs/2309.06180</t>
        </is>
      </c>
      <c r="G269" s="12">
        <f>IF(F269="","",HYPERLINK(F269,"Open link"))</f>
        <v/>
      </c>
      <c r="H269" s="12">
        <f>IF(M269="","",IF(Config!$B$6="GitHub",HYPERLINK(Config!$B$5&amp;M269,"Open parent doc"),HYPERLINK("file://"&amp;Config!$B$4&amp;M269,"Open parent doc")))</f>
        <v/>
      </c>
      <c r="I269" s="11" t="inlineStr">
        <is>
          <t>Serving efficiency</t>
        </is>
      </c>
      <c r="J269" s="11" t="inlineStr"/>
      <c r="K269" s="11" t="inlineStr"/>
      <c r="L269" s="11" t="inlineStr"/>
      <c r="M269" s="11" t="inlineStr">
        <is>
          <t>System Design/Design-GitHub-Copilot.md</t>
        </is>
      </c>
      <c r="N269" s="11" t="inlineStr">
        <is>
          <t>No</t>
        </is>
      </c>
      <c r="O269" s="11" t="inlineStr"/>
    </row>
    <row r="270">
      <c r="A270" s="11" t="inlineStr">
        <is>
          <t>System Design</t>
        </is>
      </c>
      <c r="B270" s="11" t="inlineStr">
        <is>
          <t>GitHub-Copilot</t>
        </is>
      </c>
      <c r="C270" s="11" t="inlineStr">
        <is>
          <t>System Design</t>
        </is>
      </c>
      <c r="D270" s="11" t="n">
        <v>5</v>
      </c>
      <c r="E270" s="11" t="inlineStr">
        <is>
          <t>OpenAI FIM API patterns</t>
        </is>
      </c>
      <c r="F270" s="12" t="inlineStr">
        <is>
          <t>https://platform.openai.com/docs/guides/code-generation</t>
        </is>
      </c>
      <c r="G270" s="12">
        <f>IF(F270="","",HYPERLINK(F270,"Open link"))</f>
        <v/>
      </c>
      <c r="H270" s="12">
        <f>IF(M270="","",IF(Config!$B$6="GitHub",HYPERLINK(Config!$B$5&amp;M270,"Open parent doc"),HYPERLINK("file://"&amp;Config!$B$4&amp;M270,"Open parent doc")))</f>
        <v/>
      </c>
      <c r="I270" s="11" t="inlineStr">
        <is>
          <t>Industry FIM prompt shape</t>
        </is>
      </c>
      <c r="J270" s="11" t="inlineStr"/>
      <c r="K270" s="11" t="inlineStr"/>
      <c r="L270" s="11" t="inlineStr"/>
      <c r="M270" s="11" t="inlineStr">
        <is>
          <t>System Design/Design-GitHub-Copilot.md</t>
        </is>
      </c>
      <c r="N270" s="11" t="inlineStr">
        <is>
          <t>No</t>
        </is>
      </c>
      <c r="O270" s="11" t="inlineStr"/>
    </row>
    <row r="271">
      <c r="A271" s="11" t="inlineStr">
        <is>
          <t>System Design</t>
        </is>
      </c>
      <c r="B271" s="11" t="inlineStr">
        <is>
          <t>GitHub-Copilot</t>
        </is>
      </c>
      <c r="C271" s="11" t="inlineStr">
        <is>
          <t>System Design</t>
        </is>
      </c>
      <c r="D271" s="11" t="n">
        <v>6</v>
      </c>
      <c r="E271" s="11" t="inlineStr">
        <is>
          <t>OWASP LLM Top 10</t>
        </is>
      </c>
      <c r="F271" s="12" t="inlineStr">
        <is>
          <t>https://owasp.org/www-project-top-10-for-large-language-model-applications/</t>
        </is>
      </c>
      <c r="G271" s="12">
        <f>IF(F271="","",HYPERLINK(F271,"Open link"))</f>
        <v/>
      </c>
      <c r="H271" s="12">
        <f>IF(M271="","",IF(Config!$B$6="GitHub",HYPERLINK(Config!$B$5&amp;M271,"Open parent doc"),HYPERLINK("file://"&amp;Config!$B$4&amp;M271,"Open parent doc")))</f>
        <v/>
      </c>
      <c r="I271" s="11" t="inlineStr">
        <is>
          <t>Secret leakage risks</t>
        </is>
      </c>
      <c r="J271" s="11" t="inlineStr"/>
      <c r="K271" s="11" t="inlineStr"/>
      <c r="L271" s="11" t="inlineStr"/>
      <c r="M271" s="11" t="inlineStr">
        <is>
          <t>System Design/Design-GitHub-Copilot.md</t>
        </is>
      </c>
      <c r="N271" s="11" t="inlineStr">
        <is>
          <t>No</t>
        </is>
      </c>
      <c r="O271" s="11" t="inlineStr"/>
    </row>
    <row r="272">
      <c r="A272" s="11" t="inlineStr">
        <is>
          <t>System Design</t>
        </is>
      </c>
      <c r="B272" s="11" t="inlineStr">
        <is>
          <t>Multi-Agent-Workflow-Engine</t>
        </is>
      </c>
      <c r="C272" s="11" t="inlineStr">
        <is>
          <t>System Design</t>
        </is>
      </c>
      <c r="D272" s="11" t="n">
        <v>1</v>
      </c>
      <c r="E272" s="11" t="inlineStr">
        <is>
          <t>Temporal docs</t>
        </is>
      </c>
      <c r="F272" s="12" t="inlineStr">
        <is>
          <t>https://docs.temporal.io/</t>
        </is>
      </c>
      <c r="G272" s="12">
        <f>IF(F272="","",HYPERLINK(F272,"Open link"))</f>
        <v/>
      </c>
      <c r="H272" s="12">
        <f>IF(M272="","",IF(Config!$B$6="GitHub",HYPERLINK(Config!$B$5&amp;M272,"Open parent doc"),HYPERLINK("file://"&amp;Config!$B$4&amp;M272,"Open parent doc")))</f>
        <v/>
      </c>
      <c r="I272" s="11" t="inlineStr">
        <is>
          <t>Durable execution</t>
        </is>
      </c>
      <c r="J272" s="11" t="inlineStr"/>
      <c r="K272" s="11" t="inlineStr"/>
      <c r="L272" s="11" t="inlineStr"/>
      <c r="M272" s="11" t="inlineStr">
        <is>
          <t>System Design/Design-Multi-Agent-Workflow-Engine.md</t>
        </is>
      </c>
      <c r="N272" s="11" t="inlineStr">
        <is>
          <t>No</t>
        </is>
      </c>
      <c r="O272" s="11" t="inlineStr"/>
    </row>
    <row r="273">
      <c r="A273" s="11" t="inlineStr">
        <is>
          <t>System Design</t>
        </is>
      </c>
      <c r="B273" s="11" t="inlineStr">
        <is>
          <t>Multi-Agent-Workflow-Engine</t>
        </is>
      </c>
      <c r="C273" s="11" t="inlineStr">
        <is>
          <t>System Design</t>
        </is>
      </c>
      <c r="D273" s="11" t="n">
        <v>2</v>
      </c>
      <c r="E273" s="11" t="inlineStr">
        <is>
          <t>LangGraph</t>
        </is>
      </c>
      <c r="F273" s="12" t="inlineStr">
        <is>
          <t>https://langchain-ai.github.io/langgraph/</t>
        </is>
      </c>
      <c r="G273" s="12">
        <f>IF(F273="","",HYPERLINK(F273,"Open link"))</f>
        <v/>
      </c>
      <c r="H273" s="12">
        <f>IF(M273="","",IF(Config!$B$6="GitHub",HYPERLINK(Config!$B$5&amp;M273,"Open parent doc"),HYPERLINK("file://"&amp;Config!$B$4&amp;M273,"Open parent doc")))</f>
        <v/>
      </c>
      <c r="I273" s="11" t="inlineStr">
        <is>
          <t>Agent graph patterns</t>
        </is>
      </c>
      <c r="J273" s="11" t="inlineStr"/>
      <c r="K273" s="11" t="inlineStr"/>
      <c r="L273" s="11" t="inlineStr"/>
      <c r="M273" s="11" t="inlineStr">
        <is>
          <t>System Design/Design-Multi-Agent-Workflow-Engine.md</t>
        </is>
      </c>
      <c r="N273" s="11" t="inlineStr">
        <is>
          <t>No</t>
        </is>
      </c>
      <c r="O273" s="11" t="inlineStr"/>
    </row>
    <row r="274">
      <c r="A274" s="11" t="inlineStr">
        <is>
          <t>System Design</t>
        </is>
      </c>
      <c r="B274" s="11" t="inlineStr">
        <is>
          <t>Multi-Agent-Workflow-Engine</t>
        </is>
      </c>
      <c r="C274" s="11" t="inlineStr">
        <is>
          <t>System Design</t>
        </is>
      </c>
      <c r="D274" s="11" t="n">
        <v>3</v>
      </c>
      <c r="E274" s="11" t="inlineStr">
        <is>
          <t>Model Context Protocol</t>
        </is>
      </c>
      <c r="F274" s="12" t="inlineStr">
        <is>
          <t>https://modelcontextprotocol.io/</t>
        </is>
      </c>
      <c r="G274" s="12">
        <f>IF(F274="","",HYPERLINK(F274,"Open link"))</f>
        <v/>
      </c>
      <c r="H274" s="12">
        <f>IF(M274="","",IF(Config!$B$6="GitHub",HYPERLINK(Config!$B$5&amp;M274,"Open parent doc"),HYPERLINK("file://"&amp;Config!$B$4&amp;M274,"Open parent doc")))</f>
        <v/>
      </c>
      <c r="I274" s="11" t="inlineStr">
        <is>
          <t>MCP spec</t>
        </is>
      </c>
      <c r="J274" s="11" t="inlineStr"/>
      <c r="K274" s="11" t="inlineStr"/>
      <c r="L274" s="11" t="inlineStr"/>
      <c r="M274" s="11" t="inlineStr">
        <is>
          <t>System Design/Design-Multi-Agent-Workflow-Engine.md</t>
        </is>
      </c>
      <c r="N274" s="11" t="inlineStr">
        <is>
          <t>No</t>
        </is>
      </c>
      <c r="O274" s="11" t="inlineStr"/>
    </row>
    <row r="275">
      <c r="A275" s="11" t="inlineStr">
        <is>
          <t>System Design</t>
        </is>
      </c>
      <c r="B275" s="11" t="inlineStr">
        <is>
          <t>Multi-Agent-Workflow-Engine</t>
        </is>
      </c>
      <c r="C275" s="11" t="inlineStr">
        <is>
          <t>System Design</t>
        </is>
      </c>
      <c r="D275" s="11" t="n">
        <v>4</v>
      </c>
      <c r="E275" s="11" t="inlineStr">
        <is>
          <t>LangGraph persistence</t>
        </is>
      </c>
      <c r="F275" s="12" t="inlineStr">
        <is>
          <t>https://langchain-ai.github.io/langgraph/concepts/persistence/</t>
        </is>
      </c>
      <c r="G275" s="12">
        <f>IF(F275="","",HYPERLINK(F275,"Open link"))</f>
        <v/>
      </c>
      <c r="H275" s="12">
        <f>IF(M275="","",IF(Config!$B$6="GitHub",HYPERLINK(Config!$B$5&amp;M275,"Open parent doc"),HYPERLINK("file://"&amp;Config!$B$4&amp;M275,"Open parent doc")))</f>
        <v/>
      </c>
      <c r="I275" s="11" t="inlineStr">
        <is>
          <t>Checkpoint semantics</t>
        </is>
      </c>
      <c r="J275" s="11" t="inlineStr"/>
      <c r="K275" s="11" t="inlineStr"/>
      <c r="L275" s="11" t="inlineStr"/>
      <c r="M275" s="11" t="inlineStr">
        <is>
          <t>System Design/Design-Multi-Agent-Workflow-Engine.md</t>
        </is>
      </c>
      <c r="N275" s="11" t="inlineStr">
        <is>
          <t>No</t>
        </is>
      </c>
      <c r="O275" s="11" t="inlineStr"/>
    </row>
    <row r="276">
      <c r="A276" s="11" t="inlineStr">
        <is>
          <t>System Design</t>
        </is>
      </c>
      <c r="B276" s="11" t="inlineStr">
        <is>
          <t>Multi-Agent-Workflow-Engine</t>
        </is>
      </c>
      <c r="C276" s="11" t="inlineStr">
        <is>
          <t>System Design</t>
        </is>
      </c>
      <c r="D276" s="11" t="n">
        <v>5</v>
      </c>
      <c r="E276" s="11" t="inlineStr">
        <is>
          <t>OpenAI evals guide</t>
        </is>
      </c>
      <c r="F276" s="12" t="inlineStr">
        <is>
          <t>https://platform.openai.com/docs/guides/evals</t>
        </is>
      </c>
      <c r="G276" s="12">
        <f>IF(F276="","",HYPERLINK(F276,"Open link"))</f>
        <v/>
      </c>
      <c r="H276" s="12">
        <f>IF(M276="","",IF(Config!$B$6="GitHub",HYPERLINK(Config!$B$5&amp;M276,"Open parent doc"),HYPERLINK("file://"&amp;Config!$B$4&amp;M276,"Open parent doc")))</f>
        <v/>
      </c>
      <c r="I276" s="11" t="inlineStr">
        <is>
          <t>Eval harness design</t>
        </is>
      </c>
      <c r="J276" s="11" t="inlineStr"/>
      <c r="K276" s="11" t="inlineStr"/>
      <c r="L276" s="11" t="inlineStr"/>
      <c r="M276" s="11" t="inlineStr">
        <is>
          <t>System Design/Design-Multi-Agent-Workflow-Engine.md</t>
        </is>
      </c>
      <c r="N276" s="11" t="inlineStr">
        <is>
          <t>No</t>
        </is>
      </c>
      <c r="O276" s="11" t="inlineStr"/>
    </row>
    <row r="277">
      <c r="A277" s="11" t="inlineStr">
        <is>
          <t>System Design</t>
        </is>
      </c>
      <c r="B277" s="11" t="inlineStr">
        <is>
          <t>Notion-AI</t>
        </is>
      </c>
      <c r="C277" s="11" t="inlineStr">
        <is>
          <t>System Design</t>
        </is>
      </c>
      <c r="D277" s="11" t="n">
        <v>1</v>
      </c>
      <c r="E277" s="11" t="inlineStr">
        <is>
          <t>Notion API</t>
        </is>
      </c>
      <c r="F277" s="12" t="inlineStr">
        <is>
          <t>https://developers.notion.com/</t>
        </is>
      </c>
      <c r="G277" s="12">
        <f>IF(F277="","",HYPERLINK(F277,"Open link"))</f>
        <v/>
      </c>
      <c r="H277" s="12">
        <f>IF(M277="","",IF(Config!$B$6="GitHub",HYPERLINK(Config!$B$5&amp;M277,"Open parent doc"),HYPERLINK("file://"&amp;Config!$B$4&amp;M277,"Open parent doc")))</f>
        <v/>
      </c>
      <c r="I277" s="11" t="inlineStr">
        <is>
          <t>Blocks, permissions model</t>
        </is>
      </c>
      <c r="J277" s="11" t="inlineStr"/>
      <c r="K277" s="11" t="inlineStr"/>
      <c r="L277" s="11" t="inlineStr"/>
      <c r="M277" s="11" t="inlineStr">
        <is>
          <t>System Design/Design-Notion-AI.md</t>
        </is>
      </c>
      <c r="N277" s="11" t="inlineStr">
        <is>
          <t>No</t>
        </is>
      </c>
      <c r="O277" s="11" t="inlineStr"/>
    </row>
    <row r="278">
      <c r="A278" s="11" t="inlineStr">
        <is>
          <t>System Design</t>
        </is>
      </c>
      <c r="B278" s="11" t="inlineStr">
        <is>
          <t>Notion-AI</t>
        </is>
      </c>
      <c r="C278" s="11" t="inlineStr">
        <is>
          <t>System Design</t>
        </is>
      </c>
      <c r="D278" s="11" t="n">
        <v>2</v>
      </c>
      <c r="E278" s="11" t="inlineStr">
        <is>
          <t>Notion AI</t>
        </is>
      </c>
      <c r="F278" s="12" t="inlineStr">
        <is>
          <t>https://www.notion.com/product/ai</t>
        </is>
      </c>
      <c r="G278" s="12">
        <f>IF(F278="","",HYPERLINK(F278,"Open link"))</f>
        <v/>
      </c>
      <c r="H278" s="12">
        <f>IF(M278="","",IF(Config!$B$6="GitHub",HYPERLINK(Config!$B$5&amp;M278,"Open parent doc"),HYPERLINK("file://"&amp;Config!$B$4&amp;M278,"Open parent doc")))</f>
        <v/>
      </c>
      <c r="I278" s="11" t="inlineStr">
        <is>
          <t>Product surface area</t>
        </is>
      </c>
      <c r="J278" s="11" t="inlineStr"/>
      <c r="K278" s="11" t="inlineStr"/>
      <c r="L278" s="11" t="inlineStr"/>
      <c r="M278" s="11" t="inlineStr">
        <is>
          <t>System Design/Design-Notion-AI.md</t>
        </is>
      </c>
      <c r="N278" s="11" t="inlineStr">
        <is>
          <t>No</t>
        </is>
      </c>
      <c r="O278" s="11" t="inlineStr"/>
    </row>
    <row r="279">
      <c r="A279" s="11" t="inlineStr">
        <is>
          <t>System Design</t>
        </is>
      </c>
      <c r="B279" s="11" t="inlineStr">
        <is>
          <t>Notion-AI</t>
        </is>
      </c>
      <c r="C279" s="11" t="inlineStr">
        <is>
          <t>System Design</t>
        </is>
      </c>
      <c r="D279" s="11" t="n">
        <v>3</v>
      </c>
      <c r="E279" s="11" t="inlineStr">
        <is>
          <t>CRDTs (Shapiro et al.)</t>
        </is>
      </c>
      <c r="F279" s="12" t="inlineStr">
        <is>
          <t>https://arxiv.org/abs/1608.03960</t>
        </is>
      </c>
      <c r="G279" s="12">
        <f>IF(F279="","",HYPERLINK(F279,"Open link"))</f>
        <v/>
      </c>
      <c r="H279" s="12">
        <f>IF(M279="","",IF(Config!$B$6="GitHub",HYPERLINK(Config!$B$5&amp;M279,"Open parent doc"),HYPERLINK("file://"&amp;Config!$B$4&amp;M279,"Open parent doc")))</f>
        <v/>
      </c>
      <c r="I279" s="11" t="inlineStr">
        <is>
          <t>Block collaboration foundation</t>
        </is>
      </c>
      <c r="J279" s="11" t="inlineStr"/>
      <c r="K279" s="11" t="inlineStr"/>
      <c r="L279" s="11" t="inlineStr"/>
      <c r="M279" s="11" t="inlineStr">
        <is>
          <t>System Design/Design-Notion-AI.md</t>
        </is>
      </c>
      <c r="N279" s="11" t="inlineStr">
        <is>
          <t>No</t>
        </is>
      </c>
      <c r="O279" s="11" t="inlineStr"/>
    </row>
    <row r="280">
      <c r="A280" s="11" t="inlineStr">
        <is>
          <t>System Design</t>
        </is>
      </c>
      <c r="B280" s="11" t="inlineStr">
        <is>
          <t>Notion-AI</t>
        </is>
      </c>
      <c r="C280" s="11" t="inlineStr">
        <is>
          <t>System Design</t>
        </is>
      </c>
      <c r="D280" s="11" t="n">
        <v>4</v>
      </c>
      <c r="E280" s="11" t="inlineStr">
        <is>
          <t>Google Zanzibar</t>
        </is>
      </c>
      <c r="F280" s="12" t="inlineStr">
        <is>
          <t>https://research.google/pubs/pub48190/</t>
        </is>
      </c>
      <c r="G280" s="12">
        <f>IF(F280="","",HYPERLINK(F280,"Open link"))</f>
        <v/>
      </c>
      <c r="H280" s="12">
        <f>IF(M280="","",IF(Config!$B$6="GitHub",HYPERLINK(Config!$B$5&amp;M280,"Open parent doc"),HYPERLINK("file://"&amp;Config!$B$4&amp;M280,"Open parent doc")))</f>
        <v/>
      </c>
      <c r="I280" s="11" t="inlineStr">
        <is>
          <t>Enterprise ACL at scale</t>
        </is>
      </c>
      <c r="J280" s="11" t="inlineStr"/>
      <c r="K280" s="11" t="inlineStr"/>
      <c r="L280" s="11" t="inlineStr"/>
      <c r="M280" s="11" t="inlineStr">
        <is>
          <t>System Design/Design-Notion-AI.md</t>
        </is>
      </c>
      <c r="N280" s="11" t="inlineStr">
        <is>
          <t>No</t>
        </is>
      </c>
      <c r="O280" s="11" t="inlineStr"/>
    </row>
    <row r="281">
      <c r="A281" s="11" t="inlineStr">
        <is>
          <t>System Design</t>
        </is>
      </c>
      <c r="B281" s="11" t="inlineStr">
        <is>
          <t>Notion-AI</t>
        </is>
      </c>
      <c r="C281" s="11" t="inlineStr">
        <is>
          <t>System Design</t>
        </is>
      </c>
      <c r="D281" s="11" t="n">
        <v>5</v>
      </c>
      <c r="E281" s="11" t="inlineStr">
        <is>
          <t>OWASP LLM Top 10</t>
        </is>
      </c>
      <c r="F281" s="12" t="inlineStr">
        <is>
          <t>https://owasp.org/www-project-top-10-for-large-language-model-applications/</t>
        </is>
      </c>
      <c r="G281" s="12">
        <f>IF(F281="","",HYPERLINK(F281,"Open link"))</f>
        <v/>
      </c>
      <c r="H281" s="12">
        <f>IF(M281="","",IF(Config!$B$6="GitHub",HYPERLINK(Config!$B$5&amp;M281,"Open parent doc"),HYPERLINK("file://"&amp;Config!$B$4&amp;M281,"Open parent doc")))</f>
        <v/>
      </c>
      <c r="I281" s="11" t="inlineStr">
        <is>
          <t>Injection defenses</t>
        </is>
      </c>
      <c r="J281" s="11" t="inlineStr"/>
      <c r="K281" s="11" t="inlineStr"/>
      <c r="L281" s="11" t="inlineStr"/>
      <c r="M281" s="11" t="inlineStr">
        <is>
          <t>System Design/Design-Notion-AI.md</t>
        </is>
      </c>
      <c r="N281" s="11" t="inlineStr">
        <is>
          <t>No</t>
        </is>
      </c>
      <c r="O281" s="11" t="inlineStr"/>
    </row>
    <row r="282">
      <c r="A282" s="11" t="inlineStr">
        <is>
          <t>System Design</t>
        </is>
      </c>
      <c r="B282" s="11" t="inlineStr">
        <is>
          <t>Perplexity</t>
        </is>
      </c>
      <c r="C282" s="11" t="inlineStr">
        <is>
          <t>System Design</t>
        </is>
      </c>
      <c r="D282" s="11" t="n">
        <v>1</v>
      </c>
      <c r="E282" s="11" t="inlineStr">
        <is>
          <t>Perplexity API Docs</t>
        </is>
      </c>
      <c r="F282" s="12" t="inlineStr">
        <is>
          <t>https://docs.perplexity.ai/</t>
        </is>
      </c>
      <c r="G282" s="12">
        <f>IF(F282="","",HYPERLINK(F282,"Open link"))</f>
        <v/>
      </c>
      <c r="H282" s="12">
        <f>IF(M282="","",IF(Config!$B$6="GitHub",HYPERLINK(Config!$B$5&amp;M282,"Open parent doc"),HYPERLINK("file://"&amp;Config!$B$4&amp;M282,"Open parent doc")))</f>
        <v/>
      </c>
      <c r="I282" s="11" t="inlineStr">
        <is>
          <t>Real API modes and limits</t>
        </is>
      </c>
      <c r="J282" s="11" t="inlineStr"/>
      <c r="K282" s="11" t="inlineStr"/>
      <c r="L282" s="11" t="inlineStr"/>
      <c r="M282" s="11" t="inlineStr">
        <is>
          <t>System Design/Design-Perplexity.md</t>
        </is>
      </c>
      <c r="N282" s="11" t="inlineStr">
        <is>
          <t>No</t>
        </is>
      </c>
      <c r="O282" s="11" t="inlineStr"/>
    </row>
    <row r="283">
      <c r="A283" s="11" t="inlineStr">
        <is>
          <t>System Design</t>
        </is>
      </c>
      <c r="B283" s="11" t="inlineStr">
        <is>
          <t>Perplexity</t>
        </is>
      </c>
      <c r="C283" s="11" t="inlineStr">
        <is>
          <t>System Design</t>
        </is>
      </c>
      <c r="D283" s="11" t="n">
        <v>2</v>
      </c>
      <c r="E283" s="11" t="inlineStr">
        <is>
          <t>RAG paper (Lewis et al.)</t>
        </is>
      </c>
      <c r="F283" s="12" t="inlineStr">
        <is>
          <t>https://arxiv.org/abs/2005.11401</t>
        </is>
      </c>
      <c r="G283" s="12">
        <f>IF(F283="","",HYPERLINK(F283,"Open link"))</f>
        <v/>
      </c>
      <c r="H283" s="12">
        <f>IF(M283="","",IF(Config!$B$6="GitHub",HYPERLINK(Config!$B$5&amp;M283,"Open parent doc"),HYPERLINK("file://"&amp;Config!$B$4&amp;M283,"Open parent doc")))</f>
        <v/>
      </c>
      <c r="I283" s="11" t="inlineStr">
        <is>
          <t>Retrieve-then-generate foundation</t>
        </is>
      </c>
      <c r="J283" s="11" t="inlineStr"/>
      <c r="K283" s="11" t="inlineStr"/>
      <c r="L283" s="11" t="inlineStr"/>
      <c r="M283" s="11" t="inlineStr">
        <is>
          <t>System Design/Design-Perplexity.md</t>
        </is>
      </c>
      <c r="N283" s="11" t="inlineStr">
        <is>
          <t>No</t>
        </is>
      </c>
      <c r="O283" s="11" t="inlineStr"/>
    </row>
    <row r="284">
      <c r="A284" s="11" t="inlineStr">
        <is>
          <t>System Design</t>
        </is>
      </c>
      <c r="B284" s="11" t="inlineStr">
        <is>
          <t>Perplexity</t>
        </is>
      </c>
      <c r="C284" s="11" t="inlineStr">
        <is>
          <t>System Design</t>
        </is>
      </c>
      <c r="D284" s="11" t="n">
        <v>3</v>
      </c>
      <c r="E284" s="11" t="inlineStr">
        <is>
          <t>Self-RAG</t>
        </is>
      </c>
      <c r="F284" s="12" t="inlineStr">
        <is>
          <t>https://arxiv.org/abs/2310.11511</t>
        </is>
      </c>
      <c r="G284" s="12">
        <f>IF(F284="","",HYPERLINK(F284,"Open link"))</f>
        <v/>
      </c>
      <c r="H284" s="12">
        <f>IF(M284="","",IF(Config!$B$6="GitHub",HYPERLINK(Config!$B$5&amp;M284,"Open parent doc"),HYPERLINK("file://"&amp;Config!$B$4&amp;M284,"Open parent doc")))</f>
        <v/>
      </c>
      <c r="I284" s="11" t="inlineStr">
        <is>
          <t>Retrieval + critique tokens</t>
        </is>
      </c>
      <c r="J284" s="11" t="inlineStr"/>
      <c r="K284" s="11" t="inlineStr"/>
      <c r="L284" s="11" t="inlineStr"/>
      <c r="M284" s="11" t="inlineStr">
        <is>
          <t>System Design/Design-Perplexity.md</t>
        </is>
      </c>
      <c r="N284" s="11" t="inlineStr">
        <is>
          <t>No</t>
        </is>
      </c>
      <c r="O284" s="11" t="inlineStr"/>
    </row>
    <row r="285">
      <c r="A285" s="11" t="inlineStr">
        <is>
          <t>System Design</t>
        </is>
      </c>
      <c r="B285" s="11" t="inlineStr">
        <is>
          <t>Perplexity</t>
        </is>
      </c>
      <c r="C285" s="11" t="inlineStr">
        <is>
          <t>System Design</t>
        </is>
      </c>
      <c r="D285" s="11" t="n">
        <v>4</v>
      </c>
      <c r="E285" s="11" t="inlineStr">
        <is>
          <t>Bing Grounding (Azure)</t>
        </is>
      </c>
      <c r="F285" s="12" t="inlineStr">
        <is>
          <t>https://learn.microsoft.com/en-us/azure/ai-services/agents/how-to/tools/bing-grounding</t>
        </is>
      </c>
      <c r="G285" s="12">
        <f>IF(F285="","",HYPERLINK(F285,"Open link"))</f>
        <v/>
      </c>
      <c r="H285" s="12">
        <f>IF(M285="","",IF(Config!$B$6="GitHub",HYPERLINK(Config!$B$5&amp;M285,"Open parent doc"),HYPERLINK("file://"&amp;Config!$B$4&amp;M285,"Open parent doc")))</f>
        <v/>
      </c>
      <c r="I285" s="11" t="inlineStr">
        <is>
          <t>Industry grounding pattern</t>
        </is>
      </c>
      <c r="J285" s="11" t="inlineStr"/>
      <c r="K285" s="11" t="inlineStr"/>
      <c r="L285" s="11" t="inlineStr"/>
      <c r="M285" s="11" t="inlineStr">
        <is>
          <t>System Design/Design-Perplexity.md</t>
        </is>
      </c>
      <c r="N285" s="11" t="inlineStr">
        <is>
          <t>No</t>
        </is>
      </c>
      <c r="O285" s="11" t="inlineStr"/>
    </row>
    <row r="286">
      <c r="A286" s="11" t="inlineStr">
        <is>
          <t>System Design</t>
        </is>
      </c>
      <c r="B286" s="11" t="inlineStr">
        <is>
          <t>Perplexity</t>
        </is>
      </c>
      <c r="C286" s="11" t="inlineStr">
        <is>
          <t>System Design</t>
        </is>
      </c>
      <c r="D286" s="11" t="n">
        <v>5</v>
      </c>
      <c r="E286" s="11" t="inlineStr">
        <is>
          <t>FreshLLMs (freshness)</t>
        </is>
      </c>
      <c r="F286" s="12" t="inlineStr">
        <is>
          <t>https://arxiv.org/abs/2310.03214</t>
        </is>
      </c>
      <c r="G286" s="12">
        <f>IF(F286="","",HYPERLINK(F286,"Open link"))</f>
        <v/>
      </c>
      <c r="H286" s="12">
        <f>IF(M286="","",IF(Config!$B$6="GitHub",HYPERLINK(Config!$B$5&amp;M286,"Open parent doc"),HYPERLINK("file://"&amp;Config!$B$4&amp;M286,"Open parent doc")))</f>
        <v/>
      </c>
      <c r="I286" s="11" t="inlineStr">
        <is>
          <t>Stale source problem</t>
        </is>
      </c>
      <c r="J286" s="11" t="inlineStr"/>
      <c r="K286" s="11" t="inlineStr"/>
      <c r="L286" s="11" t="inlineStr"/>
      <c r="M286" s="11" t="inlineStr">
        <is>
          <t>System Design/Design-Perplexity.md</t>
        </is>
      </c>
      <c r="N286" s="11" t="inlineStr">
        <is>
          <t>No</t>
        </is>
      </c>
      <c r="O286" s="11" t="inlineStr"/>
    </row>
    <row r="287">
      <c r="A287" s="11" t="inlineStr">
        <is>
          <t>System Design</t>
        </is>
      </c>
      <c r="B287" s="11" t="inlineStr">
        <is>
          <t>Perplexity</t>
        </is>
      </c>
      <c r="C287" s="11" t="inlineStr">
        <is>
          <t>System Design</t>
        </is>
      </c>
      <c r="D287" s="11" t="n">
        <v>6</v>
      </c>
      <c r="E287" s="11" t="inlineStr">
        <is>
          <t>OWASP LLM Top 10</t>
        </is>
      </c>
      <c r="F287" s="12" t="inlineStr">
        <is>
          <t>https://owasp.org/www-project-top-10-for-large-language-model-applications/</t>
        </is>
      </c>
      <c r="G287" s="12">
        <f>IF(F287="","",HYPERLINK(F287,"Open link"))</f>
        <v/>
      </c>
      <c r="H287" s="12">
        <f>IF(M287="","",IF(Config!$B$6="GitHub",HYPERLINK(Config!$B$5&amp;M287,"Open parent doc"),HYPERLINK("file://"&amp;Config!$B$4&amp;M287,"Open parent doc")))</f>
        <v/>
      </c>
      <c r="I287" s="11" t="inlineStr">
        <is>
          <t>Injection via web content</t>
        </is>
      </c>
      <c r="J287" s="11" t="inlineStr"/>
      <c r="K287" s="11" t="inlineStr"/>
      <c r="L287" s="11" t="inlineStr"/>
      <c r="M287" s="11" t="inlineStr">
        <is>
          <t>System Design/Design-Perplexity.md</t>
        </is>
      </c>
      <c r="N287" s="11" t="inlineStr">
        <is>
          <t>No</t>
        </is>
      </c>
      <c r="O287" s="11" t="inlineStr"/>
    </row>
    <row r="288">
      <c r="A288" s="11" t="inlineStr">
        <is>
          <t>System Design</t>
        </is>
      </c>
      <c r="B288" s="11" t="inlineStr">
        <is>
          <t>Slack-AI</t>
        </is>
      </c>
      <c r="C288" s="11" t="inlineStr">
        <is>
          <t>System Design</t>
        </is>
      </c>
      <c r="D288" s="11" t="n">
        <v>1</v>
      </c>
      <c r="E288" s="11" t="inlineStr">
        <is>
          <t>Slack Platform Docs</t>
        </is>
      </c>
      <c r="F288" s="12" t="inlineStr">
        <is>
          <t>https://docs.slack.dev/</t>
        </is>
      </c>
      <c r="G288" s="12">
        <f>IF(F288="","",HYPERLINK(F288,"Open link"))</f>
        <v/>
      </c>
      <c r="H288" s="12">
        <f>IF(M288="","",IF(Config!$B$6="GitHub",HYPERLINK(Config!$B$5&amp;M288,"Open parent doc"),HYPERLINK("file://"&amp;Config!$B$4&amp;M288,"Open parent doc")))</f>
        <v/>
      </c>
      <c r="I288" s="11" t="inlineStr">
        <is>
          <t>Events, scopes, Enterprise Grid</t>
        </is>
      </c>
      <c r="J288" s="11" t="inlineStr"/>
      <c r="K288" s="11" t="inlineStr"/>
      <c r="L288" s="11" t="inlineStr"/>
      <c r="M288" s="11" t="inlineStr">
        <is>
          <t>System Design/Design-Slack-AI.md</t>
        </is>
      </c>
      <c r="N288" s="11" t="inlineStr">
        <is>
          <t>No</t>
        </is>
      </c>
      <c r="O288" s="11" t="inlineStr"/>
    </row>
    <row r="289">
      <c r="A289" s="11" t="inlineStr">
        <is>
          <t>System Design</t>
        </is>
      </c>
      <c r="B289" s="11" t="inlineStr">
        <is>
          <t>Slack-AI</t>
        </is>
      </c>
      <c r="C289" s="11" t="inlineStr">
        <is>
          <t>System Design</t>
        </is>
      </c>
      <c r="D289" s="11" t="n">
        <v>2</v>
      </c>
      <c r="E289" s="11" t="inlineStr">
        <is>
          <t>Slack AI (product)</t>
        </is>
      </c>
      <c r="F289" s="12" t="inlineStr">
        <is>
          <t>https://slack.com/features/ai</t>
        </is>
      </c>
      <c r="G289" s="12">
        <f>IF(F289="","",HYPERLINK(F289,"Open link"))</f>
        <v/>
      </c>
      <c r="H289" s="12">
        <f>IF(M289="","",IF(Config!$B$6="GitHub",HYPERLINK(Config!$B$5&amp;M289,"Open parent doc"),HYPERLINK("file://"&amp;Config!$B$4&amp;M289,"Open parent doc")))</f>
        <v/>
      </c>
      <c r="I289" s="11" t="inlineStr">
        <is>
          <t>Feature scope reference</t>
        </is>
      </c>
      <c r="J289" s="11" t="inlineStr"/>
      <c r="K289" s="11" t="inlineStr"/>
      <c r="L289" s="11" t="inlineStr"/>
      <c r="M289" s="11" t="inlineStr">
        <is>
          <t>System Design/Design-Slack-AI.md</t>
        </is>
      </c>
      <c r="N289" s="11" t="inlineStr">
        <is>
          <t>No</t>
        </is>
      </c>
      <c r="O289" s="11" t="inlineStr"/>
    </row>
    <row r="290">
      <c r="A290" s="11" t="inlineStr">
        <is>
          <t>System Design</t>
        </is>
      </c>
      <c r="B290" s="11" t="inlineStr">
        <is>
          <t>Slack-AI</t>
        </is>
      </c>
      <c r="C290" s="11" t="inlineStr">
        <is>
          <t>System Design</t>
        </is>
      </c>
      <c r="D290" s="11" t="n">
        <v>3</v>
      </c>
      <c r="E290" s="11" t="inlineStr">
        <is>
          <t>Microsoft Graph ACL patterns</t>
        </is>
      </c>
      <c r="F290" s="12" t="inlineStr">
        <is>
          <t>https://learn.microsoft.com/en-us/graph/permissions-reference</t>
        </is>
      </c>
      <c r="G290" s="12">
        <f>IF(F290="","",HYPERLINK(F290,"Open link"))</f>
        <v/>
      </c>
      <c r="H290" s="12">
        <f>IF(M290="","",IF(Config!$B$6="GitHub",HYPERLINK(Config!$B$5&amp;M290,"Open parent doc"),HYPERLINK("file://"&amp;Config!$B$4&amp;M290,"Open parent doc")))</f>
        <v/>
      </c>
      <c r="I290" s="11" t="inlineStr">
        <is>
          <t>Enterprise permission modeling</t>
        </is>
      </c>
      <c r="J290" s="11" t="inlineStr"/>
      <c r="K290" s="11" t="inlineStr"/>
      <c r="L290" s="11" t="inlineStr"/>
      <c r="M290" s="11" t="inlineStr">
        <is>
          <t>System Design/Design-Slack-AI.md</t>
        </is>
      </c>
      <c r="N290" s="11" t="inlineStr">
        <is>
          <t>No</t>
        </is>
      </c>
      <c r="O290" s="11" t="inlineStr"/>
    </row>
    <row r="291">
      <c r="A291" s="11" t="inlineStr">
        <is>
          <t>System Design</t>
        </is>
      </c>
      <c r="B291" s="11" t="inlineStr">
        <is>
          <t>Slack-AI</t>
        </is>
      </c>
      <c r="C291" s="11" t="inlineStr">
        <is>
          <t>System Design</t>
        </is>
      </c>
      <c r="D291" s="11" t="n">
        <v>4</v>
      </c>
      <c r="E291" s="11" t="inlineStr">
        <is>
          <t>OWASP LLM Top 10</t>
        </is>
      </c>
      <c r="F291" s="12" t="inlineStr">
        <is>
          <t>https://owasp.org/www-project-top-10-for-large-language-model-applications/</t>
        </is>
      </c>
      <c r="G291" s="12">
        <f>IF(F291="","",HYPERLINK(F291,"Open link"))</f>
        <v/>
      </c>
      <c r="H291" s="12">
        <f>IF(M291="","",IF(Config!$B$6="GitHub",HYPERLINK(Config!$B$5&amp;M291,"Open parent doc"),HYPERLINK("file://"&amp;Config!$B$4&amp;M291,"Open parent doc")))</f>
        <v/>
      </c>
      <c r="I291" s="11" t="inlineStr">
        <is>
          <t>Injection + excessive agency</t>
        </is>
      </c>
      <c r="J291" s="11" t="inlineStr"/>
      <c r="K291" s="11" t="inlineStr"/>
      <c r="L291" s="11" t="inlineStr"/>
      <c r="M291" s="11" t="inlineStr">
        <is>
          <t>System Design/Design-Slack-AI.md</t>
        </is>
      </c>
      <c r="N291" s="11" t="inlineStr">
        <is>
          <t>No</t>
        </is>
      </c>
      <c r="O291" s="11" t="inlineStr"/>
    </row>
    <row r="292">
      <c r="A292" s="11" t="inlineStr">
        <is>
          <t>System Design</t>
        </is>
      </c>
      <c r="B292" s="11" t="inlineStr">
        <is>
          <t>Slack-AI</t>
        </is>
      </c>
      <c r="C292" s="11" t="inlineStr">
        <is>
          <t>System Design</t>
        </is>
      </c>
      <c r="D292" s="11" t="n">
        <v>5</v>
      </c>
      <c r="E292" s="11" t="inlineStr">
        <is>
          <t>RAG with permissions (Azure AI Search)</t>
        </is>
      </c>
      <c r="F292" s="12" t="inlineStr">
        <is>
          <t>https://learn.microsoft.com/en-us/azure/search/search-security-trimming-for-azure-search</t>
        </is>
      </c>
      <c r="G292" s="12">
        <f>IF(F292="","",HYPERLINK(F292,"Open link"))</f>
        <v/>
      </c>
      <c r="H292" s="12">
        <f>IF(M292="","",IF(Config!$B$6="GitHub",HYPERLINK(Config!$B$5&amp;M292,"Open parent doc"),HYPERLINK("file://"&amp;Config!$B$4&amp;M292,"Open parent doc")))</f>
        <v/>
      </c>
      <c r="I292" s="11" t="inlineStr">
        <is>
          <t>Security trimming patterns</t>
        </is>
      </c>
      <c r="J292" s="11" t="inlineStr"/>
      <c r="K292" s="11" t="inlineStr"/>
      <c r="L292" s="11" t="inlineStr"/>
      <c r="M292" s="11" t="inlineStr">
        <is>
          <t>System Design/Design-Slack-AI.md</t>
        </is>
      </c>
      <c r="N292" s="11" t="inlineStr">
        <is>
          <t>No</t>
        </is>
      </c>
      <c r="O292" s="11" t="inlineStr"/>
    </row>
  </sheetData>
  <autoFilter ref="A1:O292"/>
  <dataValidations count="1">
    <dataValidation sqref="N2:N292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03-04,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03-03,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10-03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10-04,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01-05,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03-04,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01-03, 02-02, 10-04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India-AI-Career-Learning-Plan</t>
        </is>
      </c>
      <c r="B7" s="11" t="inlineStr">
        <is>
          <t>India AI Career Learning Plan — From Basic Programming, Zero AI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No</t>
        </is>
      </c>
      <c r="J7" s="11" t="inlineStr">
        <is>
          <t>Career/India-AI-Career-Learning-Plan.md</t>
        </is>
      </c>
      <c r="K7" s="11" t="inlineStr"/>
    </row>
    <row r="8">
      <c r="A8" s="11" t="inlineStr">
        <is>
          <t>Principal-Staff-Interview-Guide</t>
        </is>
      </c>
      <c r="B8" s="11" t="inlineStr">
        <is>
          <t>Principal / Staff AI Interview Guide</t>
        </is>
      </c>
      <c r="C8" s="11" t="inlineStr">
        <is>
          <t>Leadership &amp; Career</t>
        </is>
      </c>
      <c r="D8" s="11" t="inlineStr">
        <is>
          <t>Career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>
        <is>
          <t>00-01, 08-03, 11-01</t>
        </is>
      </c>
      <c r="I8" s="11" t="inlineStr">
        <is>
          <t>Yes</t>
        </is>
      </c>
      <c r="J8" s="11" t="inlineStr">
        <is>
          <t>Career/Principal-Staff-Interview-Guide.md</t>
        </is>
      </c>
      <c r="K8" s="11" t="inlineStr"/>
    </row>
  </sheetData>
  <autoFilter ref="A1:K8"/>
  <dataValidations count="1">
    <dataValidation sqref="G2:G8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 — GenAI + craft</t>
        </is>
      </c>
      <c r="C2" s="11" t="inlineStr">
        <is>
          <t>00 Foundations</t>
        </is>
      </c>
      <c r="D2" s="11" t="inlineStr">
        <is>
          <t>00-01, 00-02, 00-03, 00-05</t>
        </is>
      </c>
      <c r="E2" s="11" t="inlineStr">
        <is>
          <t>Hello-LLM CLI + FastAPI warmup</t>
        </is>
      </c>
      <c r="F2" s="11" t="inlineStr">
        <is>
          <t>GenAI vocabulary</t>
        </is>
      </c>
      <c r="G2" s="11" t="n">
        <v>12</v>
      </c>
      <c r="H2" s="11" t="inlineStr"/>
      <c r="I2" s="11" t="inlineStr">
        <is>
          <t>Not started</t>
        </is>
      </c>
      <c r="J2" s="11" t="n">
        <v>4</v>
      </c>
      <c r="K2" s="11">
        <f>COUNTIFS(Modules!$A:$A,"00-01",Modules!$I:$I,"Done")+COUNTIFS(Modules!$A:$A,"00-01",Modules!$I:$I,"Interview-ready")+COUNTIFS(Modules!$A:$A,"00-02",Modules!$I:$I,"Done")+COUNTIFS(Modules!$A:$A,"00-02",Modules!$I:$I,"Interview-ready")+COUNTIFS(Modules!$A:$A,"00-03",Modules!$I:$I,"Done")+COUNTIFS(Modules!$A:$A,"00-03",Modules!$I:$I,"Interview-ready")+COUNTIFS(Modules!$A:$A,"00-05",Modules!$I:$I,"Done")+COUNTIFS(Modules!$A:$A,"00-05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Foundations — Rules / BankCo</t>
        </is>
      </c>
      <c r="C3" s="11" t="inlineStr">
        <is>
          <t>00 Foundations</t>
        </is>
      </c>
      <c r="D3" s="11" t="inlineStr">
        <is>
          <t>00-04, 00-06</t>
        </is>
      </c>
      <c r="E3" s="11" t="inlineStr">
        <is>
          <t>When-not-to-agent memo · BankCo rules</t>
        </is>
      </c>
      <c r="F3" s="11" t="inlineStr">
        <is>
          <t>Rules vs agent</t>
        </is>
      </c>
      <c r="G3" s="11" t="n">
        <v>12</v>
      </c>
      <c r="H3" s="11" t="inlineStr"/>
      <c r="I3" s="11" t="inlineStr">
        <is>
          <t>Not started</t>
        </is>
      </c>
      <c r="J3" s="11" t="n">
        <v>2</v>
      </c>
      <c r="K3" s="11">
        <f>COUNTIFS(Modules!$A:$A,"00-04",Modules!$I:$I,"Done")+COUNTIFS(Modules!$A:$A,"00-04",Modules!$I:$I,"Interview-ready")+COUNTIFS(Modules!$A:$A,"00-06",Modules!$I:$I,"Done")+COUNTIFS(Modules!$A:$A,"00-06",Modules!$I:$I,"Interview-ready")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</t>
        </is>
      </c>
      <c r="C4" s="11" t="inlineStr">
        <is>
          <t>01 LLM Engineering</t>
        </is>
      </c>
      <c r="D4" s="11" t="inlineStr">
        <is>
          <t>01-01, 01-02</t>
        </is>
      </c>
      <c r="E4" s="11" t="inlineStr">
        <is>
          <t>Token cost estimator</t>
        </is>
      </c>
      <c r="F4" s="11" t="inlineStr">
        <is>
          <t>Transformer whiteboard</t>
        </is>
      </c>
      <c r="G4" s="11" t="n">
        <v>12</v>
      </c>
      <c r="H4" s="11" t="inlineStr"/>
      <c r="I4" s="11" t="inlineStr">
        <is>
          <t>Not started</t>
        </is>
      </c>
      <c r="J4" s="11" t="n">
        <v>2</v>
      </c>
      <c r="K4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LLM Engineering II</t>
        </is>
      </c>
      <c r="C5" s="11" t="inlineStr">
        <is>
          <t>01 LLM Engineering</t>
        </is>
      </c>
      <c r="D5" s="11" t="inlineStr">
        <is>
          <t>01-03, 01-04, 01-05</t>
        </is>
      </c>
      <c r="E5" s="11" t="inlineStr">
        <is>
          <t>LiteLLM FastAPI router</t>
        </is>
      </c>
      <c r="F5" s="11" t="inlineStr">
        <is>
          <t>Inference tradeoffs</t>
        </is>
      </c>
      <c r="G5" s="11" t="n">
        <v>12</v>
      </c>
      <c r="H5" s="11" t="inlineStr"/>
      <c r="I5" s="11" t="inlineStr">
        <is>
          <t>Not started</t>
        </is>
      </c>
      <c r="J5" s="11" t="n">
        <v>3</v>
      </c>
      <c r="K5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Prompts &amp; Tools</t>
        </is>
      </c>
      <c r="C6" s="11" t="inlineStr">
        <is>
          <t>02 Prompt Engineering</t>
        </is>
      </c>
      <c r="D6" s="11" t="inlineStr">
        <is>
          <t>02-01, 02-02</t>
        </is>
      </c>
      <c r="E6" s="11" t="inlineStr">
        <is>
          <t>Structured router agent</t>
        </is>
      </c>
      <c r="F6" s="11" t="inlineStr">
        <is>
          <t>Tool-calling design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</t>
        </is>
      </c>
      <c r="C7" s="11" t="inlineStr">
        <is>
          <t>03 Agentic Fundamentals</t>
        </is>
      </c>
      <c r="D7" s="11" t="inlineStr">
        <is>
          <t>03-01, 03-02</t>
        </is>
      </c>
      <c r="E7" s="11" t="inlineStr">
        <is>
          <t>Inquiry routing agent</t>
        </is>
      </c>
      <c r="F7" s="11" t="inlineStr">
        <is>
          <t>Agent loop critique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Agents II</t>
        </is>
      </c>
      <c r="C8" s="11" t="inlineStr">
        <is>
          <t>03 Agentic Fundamentals</t>
        </is>
      </c>
      <c r="D8" s="11" t="inlineStr">
        <is>
          <t>03-03, 03-04</t>
        </is>
      </c>
      <c r="E8" s="11" t="inlineStr">
        <is>
          <t>LangGraph + checkpointing</t>
        </is>
      </c>
      <c r="F8" s="11" t="inlineStr">
        <is>
          <t>Pattern selection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</t>
        </is>
      </c>
      <c r="C9" s="11" t="inlineStr">
        <is>
          <t>04 RAG</t>
        </is>
      </c>
      <c r="D9" s="11" t="inlineStr">
        <is>
          <t>04-01, 04-02</t>
        </is>
      </c>
      <c r="E9" s="11" t="inlineStr">
        <is>
          <t>Ingestion + chunking</t>
        </is>
      </c>
      <c r="F9" s="11" t="inlineStr">
        <is>
          <t>Chunking tradeoffs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RAG II</t>
        </is>
      </c>
      <c r="C10" s="11" t="inlineStr">
        <is>
          <t>04 RAG</t>
        </is>
      </c>
      <c r="D10" s="11" t="inlineStr">
        <is>
          <t>04-03, 04-04</t>
        </is>
      </c>
      <c r="E10" s="11" t="inlineStr">
        <is>
          <t>Hybrid + rerank + citations</t>
        </is>
      </c>
      <c r="F10" s="11" t="inlineStr">
        <is>
          <t>Hallucination control</t>
        </is>
      </c>
      <c r="G10" s="11" t="n">
        <v>12</v>
      </c>
      <c r="H10" s="11" t="inlineStr"/>
      <c r="I10" s="11" t="inlineStr">
        <is>
          <t>Not started</t>
        </is>
      </c>
      <c r="J10" s="11" t="n">
        <v>2</v>
      </c>
      <c r="K10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Multi-Agent</t>
        </is>
      </c>
      <c r="C11" s="11" t="inlineStr">
        <is>
          <t>05 Multi-Agent</t>
        </is>
      </c>
      <c r="D11" s="11" t="inlineStr">
        <is>
          <t>05-01, 05-02, 05-03</t>
        </is>
      </c>
      <c r="E11" s="11" t="inlineStr">
        <is>
          <t>Travel planner multi-agent</t>
        </is>
      </c>
      <c r="F11" s="11" t="inlineStr">
        <is>
          <t>Coordination failures</t>
        </is>
      </c>
      <c r="G11" s="11" t="n">
        <v>14</v>
      </c>
      <c r="H11" s="11" t="inlineStr"/>
      <c r="I11" s="11" t="inlineStr">
        <is>
          <t>Not started</t>
        </is>
      </c>
      <c r="J11" s="11" t="n">
        <v>3</v>
      </c>
      <c r="K11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Voice / Multimodal</t>
        </is>
      </c>
      <c r="C12" s="11" t="inlineStr">
        <is>
          <t>06 Voice &amp; Multimodal</t>
        </is>
      </c>
      <c r="D12" s="11" t="inlineStr">
        <is>
          <t>06-01, 06-02</t>
        </is>
      </c>
      <c r="E12" s="11" t="inlineStr">
        <is>
          <t>ASR→LLM→TTS bot</t>
        </is>
      </c>
      <c r="F12" s="11" t="inlineStr">
        <is>
          <t>Latency budgets</t>
        </is>
      </c>
      <c r="G12" s="11" t="n">
        <v>12</v>
      </c>
      <c r="H12" s="11" t="inlineStr"/>
      <c r="I12" s="11" t="inlineStr">
        <is>
          <t>Not started</t>
        </is>
      </c>
      <c r="J12" s="11" t="n">
        <v>2</v>
      </c>
      <c r="K12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Protocols</t>
        </is>
      </c>
      <c r="C13" s="11" t="inlineStr">
        <is>
          <t>07 Protocols MCP/A2A</t>
        </is>
      </c>
      <c r="D13" s="11" t="inlineStr">
        <is>
          <t>07-01, 07-02, 07-03, 07-04</t>
        </is>
      </c>
      <c r="E13" s="11" t="inlineStr">
        <is>
          <t>MCP + A2A negotiation</t>
        </is>
      </c>
      <c r="F13" s="11" t="inlineStr">
        <is>
          <t>Protocol design</t>
        </is>
      </c>
      <c r="G13" s="11" t="n">
        <v>12</v>
      </c>
      <c r="H13" s="11" t="inlineStr"/>
      <c r="I13" s="11" t="inlineStr">
        <is>
          <t>Not started</t>
        </is>
      </c>
      <c r="J13" s="11" t="n">
        <v>4</v>
      </c>
      <c r="K13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+COUNTIFS(Modules!$A:$A,"07-04",Modules!$I:$I,"Done")+COUNTIFS(Modules!$A:$A,"07-04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Eval / LLMOps</t>
        </is>
      </c>
      <c r="C14" s="11" t="inlineStr">
        <is>
          <t>08 Eval &amp; LLMOps</t>
        </is>
      </c>
      <c r="D14" s="11" t="inlineStr">
        <is>
          <t>08-01, 08-02, 08-03</t>
        </is>
      </c>
      <c r="E14" s="11" t="inlineStr">
        <is>
          <t>Golden set + ship gate</t>
        </is>
      </c>
      <c r="F14" s="11" t="inlineStr">
        <is>
          <t>Eval strategy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Fine-Tuning</t>
        </is>
      </c>
      <c r="C15" s="11" t="inlineStr">
        <is>
          <t>09 Fine-Tuning</t>
        </is>
      </c>
      <c r="D15" s="11" t="inlineStr">
        <is>
          <t>09-01, 09-02, 09-03</t>
        </is>
      </c>
      <c r="E15" s="11" t="inlineStr">
        <is>
          <t>LoRA compare</t>
        </is>
      </c>
      <c r="F15" s="11" t="inlineStr">
        <is>
          <t>Prompt vs RAG vs FT</t>
        </is>
      </c>
      <c r="G15" s="11" t="n">
        <v>12</v>
      </c>
      <c r="H15" s="11" t="inlineStr"/>
      <c r="I15" s="11" t="inlineStr">
        <is>
          <t>Not started</t>
        </is>
      </c>
      <c r="J15" s="11" t="n">
        <v>3</v>
      </c>
      <c r="K15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Production Infra</t>
        </is>
      </c>
      <c r="C16" s="11" t="inlineStr">
        <is>
          <t>10 Production Infra</t>
        </is>
      </c>
      <c r="D16" s="11" t="inlineStr">
        <is>
          <t>10-01, 10-02, 10-03, 10-04</t>
        </is>
      </c>
      <c r="E16" s="11" t="inlineStr">
        <is>
          <t>Dockerized agent API</t>
        </is>
      </c>
      <c r="F16" s="11" t="inlineStr">
        <is>
          <t>Cost/latency design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Security + Advanced</t>
        </is>
      </c>
      <c r="C17" s="11" t="inlineStr">
        <is>
          <t>11 Security &amp; Safety</t>
        </is>
      </c>
      <c r="D17" s="11" t="inlineStr">
        <is>
          <t>11-01, 11-02, 12-01, 12-02</t>
        </is>
      </c>
      <c r="E17" s="11" t="inlineStr">
        <is>
          <t>Red-team + Text2SQL</t>
        </is>
      </c>
      <c r="F17" s="11" t="inlineStr">
        <is>
          <t>Safety review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4</v>
      </c>
      <c r="K17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Advanced + Capstone</t>
        </is>
      </c>
      <c r="C18" s="11" t="inlineStr">
        <is>
          <t>12 Advanced Topics</t>
        </is>
      </c>
      <c r="D18" s="11" t="inlineStr">
        <is>
          <t>12-03, 12-04, 12-05, 12-06</t>
        </is>
      </c>
      <c r="E18" s="11" t="inlineStr">
        <is>
          <t>Capstone vertical slice</t>
        </is>
      </c>
      <c r="F18" s="11" t="inlineStr">
        <is>
          <t>Full design interview</t>
        </is>
      </c>
      <c r="G18" s="11" t="n">
        <v>14</v>
      </c>
      <c r="H18" s="11" t="inlineStr"/>
      <c r="I18" s="11" t="inlineStr">
        <is>
          <t>Not started</t>
        </is>
      </c>
      <c r="J18" s="11" t="n">
        <v>4</v>
      </c>
      <c r="K18" s="11">
        <f>COUNTIFS(Modules!$A:$A,"12-03",Modules!$I:$I,"Done")+COUNTIFS(Modules!$A:$A,"12-03",Modules!$I:$I,"Interview-ready")+COUNTIFS(Modules!$A:$A,"12-04",Modules!$I:$I,"Done")+COUNTIFS(Modules!$A:$A,"12-04",Modules!$I:$I,"Interview-ready")+COUNTIFS(Modules!$A:$A,"12-05",Modules!$I:$I,"Done")+COUNTIFS(Modules!$A:$A,"12-05",Modules!$I:$I,"Interview-ready")+COUNTIFS(Modules!$A:$A,"12-06",Modules!$I:$I,"Done")+COUNTIFS(Modules!$A:$A,"12-06",Modules!$I:$I,"Interview-ready")</f>
        <v/>
      </c>
      <c r="L18" s="13">
        <f>IF(J18=0,"",K18/J18)</f>
        <v/>
      </c>
      <c r="M18" s="11" t="n"/>
    </row>
    <row r="19">
      <c r="A19" s="11" t="n">
        <v>17</v>
      </c>
      <c r="B19" s="11" t="inlineStr">
        <is>
          <t>Capstone + Mocks</t>
        </is>
      </c>
      <c r="C19" s="11" t="inlineStr">
        <is>
          <t>Capstone</t>
        </is>
      </c>
      <c r="D19" s="11" t="inlineStr">
        <is>
          <t>CAPSTONE</t>
        </is>
      </c>
      <c r="E19" s="11" t="inlineStr">
        <is>
          <t>Capstone v1 + 4 mocks</t>
        </is>
      </c>
      <c r="F19" s="11" t="inlineStr">
        <is>
          <t>Panel simulation</t>
        </is>
      </c>
      <c r="G19" s="11" t="n">
        <v>16</v>
      </c>
      <c r="H19" s="11" t="inlineStr"/>
      <c r="I19" s="11" t="inlineStr">
        <is>
          <t>Not started</t>
        </is>
      </c>
      <c r="J19" s="11" t="n">
        <v>1</v>
      </c>
      <c r="K19" s="11">
        <f>COUNTIFS(Projects!D:D,"Capstone",Projects!F:F,"Done")+COUNTIFS(Projects!D:D,"Capstone",Projects!F:F,"Interview-ready")</f>
        <v/>
      </c>
      <c r="L19" s="13">
        <f>IF(J19=0,"",K19/J19)</f>
        <v/>
      </c>
      <c r="M19" s="11" t="n"/>
    </row>
  </sheetData>
  <autoFilter ref="A1:M19"/>
  <dataValidations count="1">
    <dataValidation sqref="I2:I19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Hello-LLM Explain-It Bot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P01b</t>
        </is>
      </c>
      <c r="B3" s="11" t="inlineStr">
        <is>
          <t>BankCo Decision Support</t>
        </is>
      </c>
      <c r="C3" s="11" t="inlineStr">
        <is>
          <t>Foundations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00-04, 00-06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P02</t>
        </is>
      </c>
      <c r="B4" s="11" t="inlineStr">
        <is>
          <t>Token Cost Estimator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01-02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P03</t>
        </is>
      </c>
      <c r="B5" s="11" t="inlineStr">
        <is>
          <t>LiteLLM Gateway</t>
        </is>
      </c>
      <c r="C5" s="11" t="inlineStr">
        <is>
          <t>LLM Projects</t>
        </is>
      </c>
      <c r="D5" s="11" t="inlineStr">
        <is>
          <t>Mini</t>
        </is>
      </c>
      <c r="E5" s="11" t="n">
        <v>3</v>
      </c>
      <c r="F5" s="11" t="inlineStr">
        <is>
          <t>Not started</t>
        </is>
      </c>
      <c r="G5" s="11" t="inlineStr">
        <is>
          <t>01-04, 01-05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P04</t>
        </is>
      </c>
      <c r="B6" s="11" t="inlineStr">
        <is>
          <t>Structured Router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02-02, 03-03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P05</t>
        </is>
      </c>
      <c r="B7" s="11" t="inlineStr">
        <is>
          <t>Inquiry Routing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03-01, 03-02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P06</t>
        </is>
      </c>
      <c r="B8" s="11" t="inlineStr">
        <is>
          <t>LangGraph Production Agent</t>
        </is>
      </c>
      <c r="C8" s="11" t="inlineStr">
        <is>
          <t>Agent Projects</t>
        </is>
      </c>
      <c r="D8" s="11" t="inlineStr">
        <is>
          <t>Intermediate</t>
        </is>
      </c>
      <c r="E8" s="11" t="n">
        <v>6</v>
      </c>
      <c r="F8" s="11" t="inlineStr">
        <is>
          <t>Not started</t>
        </is>
      </c>
      <c r="G8" s="11" t="inlineStr">
        <is>
          <t>03-04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P07</t>
        </is>
      </c>
      <c r="B9" s="11" t="inlineStr">
        <is>
          <t>NovaCart RAG Assistant</t>
        </is>
      </c>
      <c r="C9" s="11" t="inlineStr">
        <is>
          <t>RAG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04-01, 04-02, 04-03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P08</t>
        </is>
      </c>
      <c r="B10" s="11" t="inlineStr">
        <is>
          <t>Multi-Agent Travel Planner</t>
        </is>
      </c>
      <c r="C10" s="11" t="inlineStr">
        <is>
          <t>Multi-Agent Projects</t>
        </is>
      </c>
      <c r="D10" s="11" t="inlineStr">
        <is>
          <t>Production</t>
        </is>
      </c>
      <c r="E10" s="11" t="n">
        <v>9</v>
      </c>
      <c r="F10" s="11" t="inlineStr">
        <is>
          <t>Not started</t>
        </is>
      </c>
      <c r="G10" s="11" t="inlineStr">
        <is>
          <t>05-01, 05-02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P09</t>
        </is>
      </c>
      <c r="B11" s="11" t="inlineStr">
        <is>
          <t>Voice Bot</t>
        </is>
      </c>
      <c r="C11" s="11" t="inlineStr">
        <is>
          <t>Multimodal Projects</t>
        </is>
      </c>
      <c r="D11" s="11" t="inlineStr">
        <is>
          <t>Intermediate</t>
        </is>
      </c>
      <c r="E11" s="11" t="n">
        <v>10</v>
      </c>
      <c r="F11" s="11" t="inlineStr">
        <is>
          <t>Not started</t>
        </is>
      </c>
      <c r="G11" s="11" t="inlineStr">
        <is>
          <t>06-01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P10</t>
        </is>
      </c>
      <c r="B12" s="11" t="inlineStr">
        <is>
          <t>MCP + Negotiation Sim</t>
        </is>
      </c>
      <c r="C12" s="11" t="inlineStr">
        <is>
          <t>Protocol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07-01, 07-02, 07-03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P11</t>
        </is>
      </c>
      <c r="B13" s="11" t="inlineStr">
        <is>
          <t>Eval Harness + Ship Gate</t>
        </is>
      </c>
      <c r="C13" s="11" t="inlineStr">
        <is>
          <t>LLMOps Projects</t>
        </is>
      </c>
      <c r="D13" s="11" t="inlineStr">
        <is>
          <t>Production</t>
        </is>
      </c>
      <c r="E13" s="11" t="n">
        <v>12</v>
      </c>
      <c r="F13" s="11" t="inlineStr">
        <is>
          <t>Not started</t>
        </is>
      </c>
      <c r="G13" s="11" t="inlineStr">
        <is>
          <t>08-01, 08-03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P12</t>
        </is>
      </c>
      <c r="B14" s="11" t="inlineStr">
        <is>
          <t>LoRA Integration</t>
        </is>
      </c>
      <c r="C14" s="11" t="inlineStr">
        <is>
          <t>Fine-Tune Projects</t>
        </is>
      </c>
      <c r="D14" s="11" t="inlineStr">
        <is>
          <t>Intermediate</t>
        </is>
      </c>
      <c r="E14" s="11" t="n">
        <v>13</v>
      </c>
      <c r="F14" s="11" t="inlineStr">
        <is>
          <t>Not started</t>
        </is>
      </c>
      <c r="G14" s="11" t="inlineStr">
        <is>
          <t>09-01, 09-02, 09-03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P13</t>
        </is>
      </c>
      <c r="B15" s="11" t="inlineStr">
        <is>
          <t>Deployed Agent API</t>
        </is>
      </c>
      <c r="C15" s="11" t="inlineStr">
        <is>
          <t>Infra Projects</t>
        </is>
      </c>
      <c r="D15" s="11" t="inlineStr">
        <is>
          <t>Production</t>
        </is>
      </c>
      <c r="E15" s="11" t="n">
        <v>14</v>
      </c>
      <c r="F15" s="11" t="inlineStr">
        <is>
          <t>Not started</t>
        </is>
      </c>
      <c r="G15" s="11" t="inlineStr">
        <is>
          <t>10-01, 10-02, 10-04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  <row r="16">
      <c r="A16" s="11" t="inlineStr">
        <is>
          <t>P14</t>
        </is>
      </c>
      <c r="B16" s="11" t="inlineStr">
        <is>
          <t>Capstone Multi-Agent System</t>
        </is>
      </c>
      <c r="C16" s="11" t="inlineStr">
        <is>
          <t>Capstone</t>
        </is>
      </c>
      <c r="D16" s="11" t="inlineStr">
        <is>
          <t>Capstone</t>
        </is>
      </c>
      <c r="E16" s="11" t="n">
        <v>17</v>
      </c>
      <c r="F16" s="11" t="inlineStr">
        <is>
          <t>Not started</t>
        </is>
      </c>
      <c r="G16" s="11" t="inlineStr">
        <is>
          <t>05-01, 04-01, 08-01, 11-01</t>
        </is>
      </c>
      <c r="H16" s="11" t="inlineStr"/>
      <c r="I16" s="11" t="inlineStr">
        <is>
          <t>No</t>
        </is>
      </c>
      <c r="J16" s="11" t="inlineStr">
        <is>
          <t>No</t>
        </is>
      </c>
      <c r="K16" s="11" t="inlineStr">
        <is>
          <t>No</t>
        </is>
      </c>
      <c r="L16" s="11" t="inlineStr">
        <is>
          <t>No</t>
        </is>
      </c>
      <c r="M16" s="11" t="inlineStr"/>
    </row>
  </sheetData>
  <autoFilter ref="A1:M16"/>
  <conditionalFormatting sqref="F2:F16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6" showDropDown="0" showInputMessage="0" showErrorMessage="0" allowBlank="1" type="list">
      <formula1>"Not started,In progress,Done,Interview-ready"</formula1>
    </dataValidation>
    <dataValidation sqref="D2:D16" showDropDown="0" showInputMessage="0" showErrorMessage="0" allowBlank="1" type="list">
      <formula1>"Mini,Intermediate,Production,Capstone"</formula1>
    </dataValidation>
    <dataValidation sqref="I2:I16" showDropDown="0" showInputMessage="0" showErrorMessage="0" allowBlank="1" type="list">
      <formula1>"Yes,No"</formula1>
    </dataValidation>
    <dataValidation sqref="J2:J16" showDropDown="0" showInputMessage="0" showErrorMessage="0" allowBlank="1" type="list">
      <formula1>"Yes,No"</formula1>
    </dataValidation>
    <dataValidation sqref="K2:K16" showDropDown="0" showInputMessage="0" showErrorMessage="0" allowBlank="1" type="list">
      <formula1>"Yes,No"</formula1>
    </dataValidation>
    <dataValidation sqref="L2:L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10-04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03-04,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12-06,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12-06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GenAI From Scratch: Core Ideas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Python for AI Engineering</t>
        </is>
      </c>
      <c r="C3" t="inlineStr">
        <is>
          <t>00 Foundations</t>
        </is>
      </c>
      <c r="D3" t="n">
        <v>0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APIs for AI Engineering</t>
        </is>
      </c>
      <c r="C4" t="inlineStr">
        <is>
          <t>00 Foundations</t>
        </is>
      </c>
      <c r="D4" t="n">
        <v>0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00-04</t>
        </is>
      </c>
      <c r="B5" t="inlineStr">
        <is>
          <t>00-04 — From Rules to Agents: The Evolution of Intelligent Systems</t>
        </is>
      </c>
      <c r="C5" t="inlineStr">
        <is>
          <t>00 Foundations</t>
        </is>
      </c>
      <c r="D5" t="n">
        <v>1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00-05</t>
        </is>
      </c>
      <c r="B6" t="inlineStr">
        <is>
          <t>00-05 — Mathematics for AI Engineering</t>
        </is>
      </c>
      <c r="C6" t="inlineStr">
        <is>
          <t>00 Foundations</t>
        </is>
      </c>
      <c r="D6" t="n">
        <v>0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00-06</t>
        </is>
      </c>
      <c r="B7" t="inlineStr">
        <is>
          <t>00-06 — BankCo Warm-Up: Decision-Support Retention Assistant</t>
        </is>
      </c>
      <c r="C7" t="inlineStr">
        <is>
          <t>00 Foundations</t>
        </is>
      </c>
      <c r="D7" t="n">
        <v>1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01-01</t>
        </is>
      </c>
      <c r="B8" t="inlineStr">
        <is>
          <t>01-01 — Transformer Architecture for AI Engineers</t>
        </is>
      </c>
      <c r="C8" t="inlineStr">
        <is>
          <t>01 LLM Engineering</t>
        </is>
      </c>
      <c r="D8" t="n">
        <v>2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01-02</t>
        </is>
      </c>
      <c r="B9" t="inlineStr">
        <is>
          <t>01-02 — Tokenization, Context Windows &amp; Attention Economics</t>
        </is>
      </c>
      <c r="C9" t="inlineStr">
        <is>
          <t>01 LLM Engineering</t>
        </is>
      </c>
      <c r="D9" t="n">
        <v>2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01-03</t>
        </is>
      </c>
      <c r="B10" t="inlineStr">
        <is>
          <t>01-03 — Inference Serving with vLLM, Ollama &amp; Quantization</t>
        </is>
      </c>
      <c r="C10" t="inlineStr">
        <is>
          <t>01 LLM Engineering</t>
        </is>
      </c>
      <c r="D10" t="n">
        <v>3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01-04</t>
        </is>
      </c>
      <c r="B11" t="inlineStr">
        <is>
          <t>01-04 — Model Routing with LiteLLM</t>
        </is>
      </c>
      <c r="C11" t="inlineStr">
        <is>
          <t>01 LLM Engineering</t>
        </is>
      </c>
      <c r="D11" t="n">
        <v>3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01-05</t>
        </is>
      </c>
      <c r="B12" t="inlineStr">
        <is>
          <t>01-05 — Provider SDKs: OpenAI, Claude, Gemini &amp; DeepSeek</t>
        </is>
      </c>
      <c r="C12" t="inlineStr">
        <is>
          <t>01 LLM Engineering</t>
        </is>
      </c>
      <c r="D12" t="n">
        <v>3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02-01</t>
        </is>
      </c>
      <c r="B13" t="inlineStr">
        <is>
          <t>02-01 — Production Prompt Engineering</t>
        </is>
      </c>
      <c r="C13" t="inlineStr">
        <is>
          <t>02 Prompt Engineering</t>
        </is>
      </c>
      <c r="D13" t="n">
        <v>4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02-02</t>
        </is>
      </c>
      <c r="B14" t="inlineStr">
        <is>
          <t>02-02 — Structured Outputs &amp; Tool Calling</t>
        </is>
      </c>
      <c r="C14" t="inlineStr">
        <is>
          <t>02 Prompt Engineering</t>
        </is>
      </c>
      <c r="D14" t="n">
        <v>4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03-01</t>
        </is>
      </c>
      <c r="B15" t="inlineStr">
        <is>
          <t>03-01 — Agent Anatomy &amp; the Think→Act→Observe Loop</t>
        </is>
      </c>
      <c r="C15" t="inlineStr">
        <is>
          <t>03 Agentic Fundamentals</t>
        </is>
      </c>
      <c r="D15" t="n">
        <v>5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03-02</t>
        </is>
      </c>
      <c r="B16" t="inlineStr">
        <is>
          <t>03-02 — Tools, Memory &amp; Control Flow</t>
        </is>
      </c>
      <c r="C16" t="inlineStr">
        <is>
          <t>03 Agentic Fundamentals</t>
        </is>
      </c>
      <c r="D16" t="n">
        <v>5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03-03</t>
        </is>
      </c>
      <c r="B17" t="inlineStr">
        <is>
          <t>03-03 — Agentic Design Patterns: Routing, Reflection, ReAct &amp; More</t>
        </is>
      </c>
      <c r="C17" t="inlineStr">
        <is>
          <t>03 Agentic Fundamentals</t>
        </is>
      </c>
      <c r="D17" t="n">
        <v>6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03-04</t>
        </is>
      </c>
      <c r="B18" t="inlineStr">
        <is>
          <t>03-04 — LangGraph Production Agents: State, Memory, HITL &amp; Deployment</t>
        </is>
      </c>
      <c r="C18" t="inlineStr">
        <is>
          <t>03 Agentic Fundamentals</t>
        </is>
      </c>
      <c r="D18" t="n">
        <v>6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04-01</t>
        </is>
      </c>
      <c r="B19" t="inlineStr">
        <is>
          <t>04-01 — RAG Architecture: Grounding LLMs with External Knowledge</t>
        </is>
      </c>
      <c r="C19" t="inlineStr">
        <is>
          <t>04 RAG</t>
        </is>
      </c>
      <c r="D19" t="n">
        <v>7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04-02</t>
        </is>
      </c>
      <c r="B20" t="inlineStr">
        <is>
          <t>04-02 — Chunking, Metadata &amp; Embeddings</t>
        </is>
      </c>
      <c r="C20" t="inlineStr">
        <is>
          <t>04 RAG</t>
        </is>
      </c>
      <c r="D20" t="n">
        <v>7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04-03</t>
        </is>
      </c>
      <c r="B21" t="inlineStr">
        <is>
          <t>04-03 — Vector DBs, Hybrid Search &amp; Reranking</t>
        </is>
      </c>
      <c r="C21" t="inlineStr">
        <is>
          <t>04 RAG</t>
        </is>
      </c>
      <c r="D21" t="n">
        <v>8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04-04</t>
        </is>
      </c>
      <c r="B22" t="inlineStr">
        <is>
          <t>04-04 — Advanced RAG: HyDE, GraphRAG &amp; Agentic RAG</t>
        </is>
      </c>
      <c r="C22" t="inlineStr">
        <is>
          <t>04 RAG</t>
        </is>
      </c>
      <c r="D22" t="n">
        <v>8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05-01</t>
        </is>
      </c>
      <c r="B23" t="inlineStr">
        <is>
          <t>05-01 — Multi-Agent Orchestration: When One Agent Is Not Enough</t>
        </is>
      </c>
      <c r="C23" t="inlineStr">
        <is>
          <t>05 Multi-Agent</t>
        </is>
      </c>
      <c r="D23" t="n">
        <v>9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05-02</t>
        </is>
      </c>
      <c r="B24" t="inlineStr">
        <is>
          <t>05-02 — Planner–Executor–Critic, Supervisor, DAG &amp; Hybrid Patterns</t>
        </is>
      </c>
      <c r="C24" t="inlineStr">
        <is>
          <t>05 Multi-Agent</t>
        </is>
      </c>
      <c r="D24" t="n">
        <v>9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05-03</t>
        </is>
      </c>
      <c r="B25" t="inlineStr">
        <is>
          <t>05-03 — Frameworks: CrewAI, AutoGen &amp; LangGraph for Production</t>
        </is>
      </c>
      <c r="C25" t="inlineStr">
        <is>
          <t>05 Multi-Agent</t>
        </is>
      </c>
      <c r="D25" t="n">
        <v>9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06-01</t>
        </is>
      </c>
      <c r="B26" t="inlineStr">
        <is>
          <t>06-01 — Voice Pipelines: ASR → LLM → TTS</t>
        </is>
      </c>
      <c r="C26" t="inlineStr">
        <is>
          <t>06 Voice &amp; Multimodal</t>
        </is>
      </c>
      <c r="D26" t="n">
        <v>10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06-02</t>
        </is>
      </c>
      <c r="B27" t="inlineStr">
        <is>
          <t>06-02 — Multimodal Agents (Vision + Text)</t>
        </is>
      </c>
      <c r="C27" t="inlineStr">
        <is>
          <t>06 Voice &amp; Multimodal</t>
        </is>
      </c>
      <c r="D27" t="n">
        <v>10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07-01</t>
        </is>
      </c>
      <c r="B28" t="inlineStr">
        <is>
          <t>07-01 — Model Context Protocol (MCP)</t>
        </is>
      </c>
      <c r="C28" t="inlineStr">
        <is>
          <t>07 Protocols MCP/A2A</t>
        </is>
      </c>
      <c r="D28" t="n">
        <v>11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07-02</t>
        </is>
      </c>
      <c r="B29" t="inlineStr">
        <is>
          <t>07-02 — Agent-to-Agent (A2A) Protocol</t>
        </is>
      </c>
      <c r="C29" t="inlineStr">
        <is>
          <t>07 Protocols MCP/A2A</t>
        </is>
      </c>
      <c r="D29" t="n">
        <v>11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07-03</t>
        </is>
      </c>
      <c r="B30" t="inlineStr">
        <is>
          <t>07-03 — Negotiation &amp; Async Agent Workflows</t>
        </is>
      </c>
      <c r="C30" t="inlineStr">
        <is>
          <t>07 Protocols MCP/A2A</t>
        </is>
      </c>
      <c r="D30" t="n">
        <v>11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07-04</t>
        </is>
      </c>
      <c r="B31" t="inlineStr">
        <is>
          <t>07-04 — MCP Production Patterns (Depth)</t>
        </is>
      </c>
      <c r="C31" t="inlineStr">
        <is>
          <t>07 Protocols MCP/A2A</t>
        </is>
      </c>
      <c r="D31" t="n">
        <v>11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08-01</t>
        </is>
      </c>
      <c r="B32" t="inlineStr">
        <is>
          <t>08-01 — Evaluation Lifecycle (Offline + Online)</t>
        </is>
      </c>
      <c r="C32" t="inlineStr">
        <is>
          <t>08 Eval &amp; LLMOps</t>
        </is>
      </c>
      <c r="D32" t="n">
        <v>12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08-02</t>
        </is>
      </c>
      <c r="B33" t="inlineStr">
        <is>
          <t>08-02 — Observability: LangSmith &amp; OpenTelemetry</t>
        </is>
      </c>
      <c r="C33" t="inlineStr">
        <is>
          <t>08 Eval &amp; LLMOps</t>
        </is>
      </c>
      <c r="D33" t="n">
        <v>12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08-03</t>
        </is>
      </c>
      <c r="B34" t="inlineStr">
        <is>
          <t>08-03 — Guardrails &amp; Ship Criteria</t>
        </is>
      </c>
      <c r="C34" t="inlineStr">
        <is>
          <t>08 Eval &amp; LLMOps</t>
        </is>
      </c>
      <c r="D34" t="n">
        <v>12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09-01</t>
        </is>
      </c>
      <c r="B35" t="inlineStr">
        <is>
          <t>09-01 — PEFT, LoRA &amp; QLoRA: Efficient Fine-Tuning for Production</t>
        </is>
      </c>
      <c r="C35" t="inlineStr">
        <is>
          <t>09 Fine-Tuning</t>
        </is>
      </c>
      <c r="D35" t="n">
        <v>13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09-02</t>
        </is>
      </c>
      <c r="B36" t="inlineStr">
        <is>
          <t>09-02 — Prompting vs RAG vs Fine-Tuning: The Decision Framework</t>
        </is>
      </c>
      <c r="C36" t="inlineStr">
        <is>
          <t>09 Fine-Tuning</t>
        </is>
      </c>
      <c r="D36" t="n">
        <v>13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09-03</t>
        </is>
      </c>
      <c r="B37" t="inlineStr">
        <is>
          <t>09-03 — Serving &amp; Integrating Fine-Tuned Models</t>
        </is>
      </c>
      <c r="C37" t="inlineStr">
        <is>
          <t>09 Fine-Tuning</t>
        </is>
      </c>
      <c r="D37" t="n">
        <v>13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10-01</t>
        </is>
      </c>
      <c r="B38" t="inlineStr">
        <is>
          <t>10-01 — FastAPI AI Backends: Production API Patterns for LLM Apps</t>
        </is>
      </c>
      <c r="C38" t="inlineStr">
        <is>
          <t>10 Production Infra</t>
        </is>
      </c>
      <c r="D38" t="n">
        <v>14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10-02</t>
        </is>
      </c>
      <c r="B39" t="inlineStr">
        <is>
          <t>10-02 — Docker, Kubernetes &amp; CI/CD for AI Services</t>
        </is>
      </c>
      <c r="C39" t="inlineStr">
        <is>
          <t>10 Production Infra</t>
        </is>
      </c>
      <c r="D39" t="n">
        <v>14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10-03</t>
        </is>
      </c>
      <c r="B40" t="inlineStr">
        <is>
          <t>10-03 — Redis, Kafka &amp; Ray: Async Infrastructure for AI Platforms</t>
        </is>
      </c>
      <c r="C40" t="inlineStr">
        <is>
          <t>10 Production Infra</t>
        </is>
      </c>
      <c r="D40" t="n">
        <v>14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10-04</t>
        </is>
      </c>
      <c r="B41" t="inlineStr">
        <is>
          <t>10-04 — Cost &amp; Latency Optimization for LLM Systems</t>
        </is>
      </c>
      <c r="C41" t="inlineStr">
        <is>
          <t>10 Production Infra</t>
        </is>
      </c>
      <c r="D41" t="n">
        <v>14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11-01</t>
        </is>
      </c>
      <c r="B42" t="inlineStr">
        <is>
          <t>11-01 — OWASP LLM Top 10: Threat Model for Production AI</t>
        </is>
      </c>
      <c r="C42" t="inlineStr">
        <is>
          <t>11 Security &amp; Safety</t>
        </is>
      </c>
      <c r="D42" t="n">
        <v>15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11-02</t>
        </is>
      </c>
      <c r="B43" t="inlineStr">
        <is>
          <t>11-02 — Prompt Injection Defense: Direct, Indirect, and Production Controls</t>
        </is>
      </c>
      <c r="C43" t="inlineStr">
        <is>
          <t>11 Security &amp; Safety</t>
        </is>
      </c>
      <c r="D43" t="n">
        <v>15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  <row r="44">
      <c r="A44" t="inlineStr">
        <is>
          <t>12-01</t>
        </is>
      </c>
      <c r="B44" t="inlineStr">
        <is>
          <t>12-01 — Agentic Research Systems: Plan, Tools, Guardrails, Memory, Evals</t>
        </is>
      </c>
      <c r="C44" t="inlineStr">
        <is>
          <t>12 Advanced Topics</t>
        </is>
      </c>
      <c r="D44" t="n">
        <v>15</v>
      </c>
      <c r="E44">
        <f>IFERROR(VLOOKUP(A44,Modules!$A:$I,9,FALSE),"")</f>
        <v/>
      </c>
      <c r="F44">
        <f>IF(OR(E44="Not started",E44="In progress"),1,0)</f>
        <v/>
      </c>
      <c r="G44">
        <f>IF(F44=0,"",COUNTIFS($F$2:F44,1))</f>
        <v/>
      </c>
    </row>
    <row r="45">
      <c r="A45" t="inlineStr">
        <is>
          <t>12-02</t>
        </is>
      </c>
      <c r="B45" t="inlineStr">
        <is>
          <t>12-02 — Text-to-SQL Agents: Schema Retrieval, Safety, Spider-Style Evals</t>
        </is>
      </c>
      <c r="C45" t="inlineStr">
        <is>
          <t>12 Advanced Topics</t>
        </is>
      </c>
      <c r="D45" t="n">
        <v>15</v>
      </c>
      <c r="E45">
        <f>IFERROR(VLOOKUP(A45,Modules!$A:$I,9,FALSE),"")</f>
        <v/>
      </c>
      <c r="F45">
        <f>IF(OR(E45="Not started",E45="In progress"),1,0)</f>
        <v/>
      </c>
      <c r="G45">
        <f>IF(F45=0,"",COUNTIFS($F$2:F45,1))</f>
        <v/>
      </c>
    </row>
    <row r="46">
      <c r="A46" t="inlineStr">
        <is>
          <t>12-03</t>
        </is>
      </c>
      <c r="B46" t="inlineStr">
        <is>
          <t>12-03 — Self-Improving Agents: Generate, Test, Refine in Sandboxes</t>
        </is>
      </c>
      <c r="C46" t="inlineStr">
        <is>
          <t>12 Advanced Topics</t>
        </is>
      </c>
      <c r="D46" t="n">
        <v>16</v>
      </c>
      <c r="E46">
        <f>IFERROR(VLOOKUP(A46,Modules!$A:$I,9,FALSE),"")</f>
        <v/>
      </c>
      <c r="F46">
        <f>IF(OR(E46="Not started",E46="In progress"),1,0)</f>
        <v/>
      </c>
      <c r="G46">
        <f>IF(F46=0,"",COUNTIFS($F$2:F46,1))</f>
        <v/>
      </c>
    </row>
    <row r="47">
      <c r="A47" t="inlineStr">
        <is>
          <t>12-04</t>
        </is>
      </c>
      <c r="B47" t="inlineStr">
        <is>
          <t>12-04 — DSPy: Programmatic Prompting &amp; Optimization</t>
        </is>
      </c>
      <c r="C47" t="inlineStr">
        <is>
          <t>12 Advanced Topics</t>
        </is>
      </c>
      <c r="D47" t="n">
        <v>16</v>
      </c>
      <c r="E47">
        <f>IFERROR(VLOOKUP(A47,Modules!$A:$I,9,FALSE),"")</f>
        <v/>
      </c>
      <c r="F47">
        <f>IF(OR(E47="Not started",E47="In progress"),1,0)</f>
        <v/>
      </c>
      <c r="G47">
        <f>IF(F47=0,"",COUNTIFS($F$2:F47,1))</f>
        <v/>
      </c>
    </row>
    <row r="48">
      <c r="A48" t="inlineStr">
        <is>
          <t>12-05</t>
        </is>
      </c>
      <c r="B48" t="inlineStr">
        <is>
          <t>12-05 — AI Coding Agents (Codex, Claude Code, Cursor)</t>
        </is>
      </c>
      <c r="C48" t="inlineStr">
        <is>
          <t>12 Advanced Topics</t>
        </is>
      </c>
      <c r="D48" t="n">
        <v>16</v>
      </c>
      <c r="E48">
        <f>IFERROR(VLOOKUP(A48,Modules!$A:$I,9,FALSE),"")</f>
        <v/>
      </c>
      <c r="F48">
        <f>IF(OR(E48="Not started",E48="In progress"),1,0)</f>
        <v/>
      </c>
      <c r="G48">
        <f>IF(F48=0,"",COUNTIFS($F$2:F48,1))</f>
        <v/>
      </c>
    </row>
    <row r="49">
      <c r="A49" t="inlineStr">
        <is>
          <t>12-06</t>
        </is>
      </c>
      <c r="B49" t="inlineStr">
        <is>
          <t>12-06 — AI Product Thinking</t>
        </is>
      </c>
      <c r="C49" t="inlineStr">
        <is>
          <t>12 Advanced Topics</t>
        </is>
      </c>
      <c r="D49" t="n">
        <v>16</v>
      </c>
      <c r="E49">
        <f>IFERROR(VLOOKUP(A49,Modules!$A:$I,9,FALSE),"")</f>
        <v/>
      </c>
      <c r="F49">
        <f>IF(OR(E49="Not started",E49="In progress"),1,0)</f>
        <v/>
      </c>
      <c r="G49">
        <f>IF(F49=0,"",COUNTIFS($F$2:F49,1))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2026-07-25T17:39:54Z</dcterms:created>
  <dcterms:modified xsi:type="dcterms:W3CDTF">2026-07-25T17:39:54Z</dcterms:modified>
</cp:coreProperties>
</file>