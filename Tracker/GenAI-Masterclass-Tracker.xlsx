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shboard" sheetId="2" state="visible" r:id="rId2"/>
    <sheet name="Config" sheetId="3" state="visible" r:id="rId3"/>
    <sheet name="Workflow" sheetId="4" state="visible" r:id="rId4"/>
    <sheet name="Lookups" sheetId="5" state="visible" r:id="rId5"/>
    <sheet name="Modules" sheetId="6" state="visible" r:id="rId6"/>
    <sheet name="Resources" sheetId="7" state="visible" r:id="rId7"/>
    <sheet name="SystemDesign" sheetId="8" state="visible" r:id="rId8"/>
    <sheet name="LeadershipCareer" sheetId="9" state="visible" r:id="rId9"/>
    <sheet name="Weekly" sheetId="10" state="visible" r:id="rId10"/>
    <sheet name="DailyLog" sheetId="11" state="visible" r:id="rId11"/>
    <sheet name="Projects" sheetId="12" state="visible" r:id="rId12"/>
    <sheet name="Interviews" sheetId="13" state="visible" r:id="rId13"/>
    <sheet name="STAR" sheetId="14" state="visible" r:id="rId14"/>
    <sheet name="_Helper" sheetId="15" state="hidden" r:id="rId15"/>
  </sheets>
  <definedNames>
    <definedName name="_xlnm._FilterDatabase" localSheetId="5" hidden="1">'Modules'!$A$1:$R$49</definedName>
    <definedName name="_xlnm._FilterDatabase" localSheetId="6" hidden="1">'Resources'!$A$1:$O$292</definedName>
    <definedName name="_xlnm._FilterDatabase" localSheetId="7" hidden="1">'SystemDesign'!$A$1:$P$14</definedName>
    <definedName name="_xlnm._FilterDatabase" localSheetId="8" hidden="1">'LeadershipCareer'!$A$1:$K$8</definedName>
    <definedName name="_xlnm._FilterDatabase" localSheetId="9" hidden="1">'Weekly'!$A$1:$M$19</definedName>
    <definedName name="_xlnm._FilterDatabase" localSheetId="10" hidden="1">'DailyLog'!$A$1:$N$51</definedName>
    <definedName name="_xlnm._FilterDatabase" localSheetId="11" hidden="1">'Projects'!$A$1:$M$16</definedName>
    <definedName name="_xlnm._FilterDatabase" localSheetId="12" hidden="1">'Interviews'!$A$1:$M$9</definedName>
    <definedName name="_xlnm._FilterDatabase" localSheetId="13" hidden="1">'STAR'!$A$1:$N$9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2F5496"/>
      <sz val="12"/>
    </font>
    <font>
      <b val="1"/>
      <color rgb="00FFFFFF"/>
      <sz val="11"/>
    </font>
    <font>
      <color rgb="000563C1"/>
      <u val="single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9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Workflow'!A1" TargetMode="External" Id="rId1" /><Relationship Type="http://schemas.openxmlformats.org/officeDocument/2006/relationships/hyperlink" Target="#'Config'!A1" TargetMode="External" Id="rId2" /><Relationship Type="http://schemas.openxmlformats.org/officeDocument/2006/relationships/hyperlink" Target="#'Modules'!A1" TargetMode="External" Id="rId3" /><Relationship Type="http://schemas.openxmlformats.org/officeDocument/2006/relationships/hyperlink" Target="#'Resources'!A1" TargetMode="External" Id="rId4" /><Relationship Type="http://schemas.openxmlformats.org/officeDocument/2006/relationships/hyperlink" Target="#'Weekly'!A1" TargetMode="External" Id="rId5" /><Relationship Type="http://schemas.openxmlformats.org/officeDocument/2006/relationships/hyperlink" Target="#'DailyLog'!A1" TargetMode="External" Id="rId6" /><Relationship Type="http://schemas.openxmlformats.org/officeDocument/2006/relationships/hyperlink" Target="#'Projects'!A1" TargetMode="External" Id="rId7" /><Relationship Type="http://schemas.openxmlformats.org/officeDocument/2006/relationships/hyperlink" Target="#'Interviews'!A1" TargetMode="External" Id="rId8" /><Relationship Type="http://schemas.openxmlformats.org/officeDocument/2006/relationships/hyperlink" Target="#'STAR'!A1" TargetMode="External" Id="rId9" /><Relationship Type="http://schemas.openxmlformats.org/officeDocument/2006/relationships/hyperlink" Target="#'SystemDesign'!A1" TargetMode="External" Id="rId10" /><Relationship Type="http://schemas.openxmlformats.org/officeDocument/2006/relationships/hyperlink" Target="#'LeadershipCareer'!A1" TargetMode="External" Id="rId11" /></Relationships>
</file>

<file path=xl/worksheets/_rels/sheet7.xml.rels><Relationships xmlns="http://schemas.openxmlformats.org/package/2006/relationships"><Relationship Type="http://schemas.openxmlformats.org/officeDocument/2006/relationships/hyperlink" Target="https://platform.openai.com/docs/guides/text" TargetMode="External" Id="rId1" /><Relationship Type="http://schemas.openxmlformats.org/officeDocument/2006/relationships/hyperlink" Target="https://docs.anthropic.com/en/docs/welcome" TargetMode="External" Id="rId2" /><Relationship Type="http://schemas.openxmlformats.org/officeDocument/2006/relationships/hyperlink" Target="https://ai.google.dev/gemini-api/docs/quickstart" TargetMode="External" Id="rId3" /><Relationship Type="http://schemas.openxmlformats.org/officeDocument/2006/relationships/hyperlink" Target="https://api-docs.deepseek.com/" TargetMode="External" Id="rId4" /><Relationship Type="http://schemas.openxmlformats.org/officeDocument/2006/relationships/hyperlink" Target="https://developers.openai.com/api/docs/guides/prompt-engineering" TargetMode="External" Id="rId5" /><Relationship Type="http://schemas.openxmlformats.org/officeDocument/2006/relationships/hyperlink" Target="https://www.oreilly.com/library/view/ai-engineering/9781098166298/" TargetMode="External" Id="rId6" /><Relationship Type="http://schemas.openxmlformats.org/officeDocument/2006/relationships/hyperlink" Target="https://www.youtube.com/watch?v=zjkBMFhNj_g" TargetMode="External" Id="rId7" /><Relationship Type="http://schemas.openxmlformats.org/officeDocument/2006/relationships/hyperlink" Target="https://arxiv.org/abs/1706.03762" TargetMode="External" Id="rId8" /><Relationship Type="http://schemas.openxmlformats.org/officeDocument/2006/relationships/hyperlink" Target="https://arxiv.org/abs/2210.03629" TargetMode="External" Id="rId9" /><Relationship Type="http://schemas.openxmlformats.org/officeDocument/2006/relationships/hyperlink" Target="https://developers.openai.com/api/docs/guides/prompt-engineering" TargetMode="External" Id="rId10" /><Relationship Type="http://schemas.openxmlformats.org/officeDocument/2006/relationships/hyperlink" Target="https://langchain-ai.github.io/langgraph/concepts/high_level/" TargetMode="External" Id="rId11" /><Relationship Type="http://schemas.openxmlformats.org/officeDocument/2006/relationships/hyperlink" Target="https://platform.claude.com/docs/en/docs/build-with-claude/overview" TargetMode="External" Id="rId12" /><Relationship Type="http://schemas.openxmlformats.org/officeDocument/2006/relationships/hyperlink" Target="https://fastapi.tiangolo.com/" TargetMode="External" Id="rId13" /><Relationship Type="http://schemas.openxmlformats.org/officeDocument/2006/relationships/hyperlink" Target="https://docs.pydantic.dev/latest/" TargetMode="External" Id="rId14" /><Relationship Type="http://schemas.openxmlformats.org/officeDocument/2006/relationships/hyperlink" Target="https://developers.openai.com/api/docs/" TargetMode="External" Id="rId15" /><Relationship Type="http://schemas.openxmlformats.org/officeDocument/2006/relationships/hyperlink" Target="https://developers.openai.com/api/docs/guides/prompt-engineering" TargetMode="External" Id="rId16" /><Relationship Type="http://schemas.openxmlformats.org/officeDocument/2006/relationships/hyperlink" Target="https://owasp.org/www-project-top-10-for-large-language-model-applications/" TargetMode="External" Id="rId17" /><Relationship Type="http://schemas.openxmlformats.org/officeDocument/2006/relationships/hyperlink" Target="https://arxiv.org/abs/1706.03762" TargetMode="External" Id="rId18" /><Relationship Type="http://schemas.openxmlformats.org/officeDocument/2006/relationships/hyperlink" Target="https://huggingface.co/docs/transformers/en/index" TargetMode="External" Id="rId19" /><Relationship Type="http://schemas.openxmlformats.org/officeDocument/2006/relationships/hyperlink" Target="https://huggingface.co/learn/nlp-course/chapter1/1" TargetMode="External" Id="rId20" /><Relationship Type="http://schemas.openxmlformats.org/officeDocument/2006/relationships/hyperlink" Target="https://developers.openai.com/api/docs/guides/production-best-practices" TargetMode="External" Id="rId21" /><Relationship Type="http://schemas.openxmlformats.org/officeDocument/2006/relationships/hyperlink" Target="https://arxiv.org/abs/2104.09864" TargetMode="External" Id="rId22" /><Relationship Type="http://schemas.openxmlformats.org/officeDocument/2006/relationships/hyperlink" Target="https://arxiv.org/abs/2203.15556" TargetMode="External" Id="rId23" /><Relationship Type="http://schemas.openxmlformats.org/officeDocument/2006/relationships/hyperlink" Target="https://github.com/openai/tiktoken" TargetMode="External" Id="rId24" /><Relationship Type="http://schemas.openxmlformats.org/officeDocument/2006/relationships/hyperlink" Target="https://developers.openai.com/api/docs/guides/text-generation" TargetMode="External" Id="rId25" /><Relationship Type="http://schemas.openxmlformats.org/officeDocument/2006/relationships/hyperlink" Target="https://platform.claude.com/docs/en/docs/build-with-claude/context-windows" TargetMode="External" Id="rId26" /><Relationship Type="http://schemas.openxmlformats.org/officeDocument/2006/relationships/hyperlink" Target="https://ai.google.dev/gemini-api/docs/long-context" TargetMode="External" Id="rId27" /><Relationship Type="http://schemas.openxmlformats.org/officeDocument/2006/relationships/hyperlink" Target="https://arxiv.org/abs/1706.03762" TargetMode="External" Id="rId28" /><Relationship Type="http://schemas.openxmlformats.org/officeDocument/2006/relationships/hyperlink" Target="https://arxiv.org/abs/2307.03172" TargetMode="External" Id="rId29" /><Relationship Type="http://schemas.openxmlformats.org/officeDocument/2006/relationships/hyperlink" Target="https://arxiv.org/abs/1409.0473" TargetMode="External" Id="rId30" /><Relationship Type="http://schemas.openxmlformats.org/officeDocument/2006/relationships/hyperlink" Target="https://developers.openai.com/api/docs/" TargetMode="External" Id="rId31" /><Relationship Type="http://schemas.openxmlformats.org/officeDocument/2006/relationships/hyperlink" Target="https://github.com/openai/openai-python" TargetMode="External" Id="rId32" /><Relationship Type="http://schemas.openxmlformats.org/officeDocument/2006/relationships/hyperlink" Target="https://platform.claude.com/docs/en/api/overview" TargetMode="External" Id="rId33" /><Relationship Type="http://schemas.openxmlformats.org/officeDocument/2006/relationships/hyperlink" Target="https://github.com/anthropics/anthropic-sdk-python" TargetMode="External" Id="rId34" /><Relationship Type="http://schemas.openxmlformats.org/officeDocument/2006/relationships/hyperlink" Target="https://ai.google.dev/gemini-api/docs" TargetMode="External" Id="rId35" /><Relationship Type="http://schemas.openxmlformats.org/officeDocument/2006/relationships/hyperlink" Target="https://github.com/googleapis/python-genai" TargetMode="External" Id="rId36" /><Relationship Type="http://schemas.openxmlformats.org/officeDocument/2006/relationships/hyperlink" Target="https://api-docs.deepseek.com/" TargetMode="External" Id="rId37" /><Relationship Type="http://schemas.openxmlformats.org/officeDocument/2006/relationships/hyperlink" Target="https://docs.litellm.ai/docs/" TargetMode="External" Id="rId38" /><Relationship Type="http://schemas.openxmlformats.org/officeDocument/2006/relationships/hyperlink" Target="https://github.com/BerriAI/litellm" TargetMode="External" Id="rId39" /><Relationship Type="http://schemas.openxmlformats.org/officeDocument/2006/relationships/hyperlink" Target="https://docs.litellm.ai/docs/routing" TargetMode="External" Id="rId40" /><Relationship Type="http://schemas.openxmlformats.org/officeDocument/2006/relationships/hyperlink" Target="https://docs.litellm.ai/docs/proxy/load_balancing" TargetMode="External" Id="rId41" /><Relationship Type="http://schemas.openxmlformats.org/officeDocument/2006/relationships/hyperlink" Target="https://docs.litellm.ai/docs/proxy/provider_budget_routing" TargetMode="External" Id="rId42" /><Relationship Type="http://schemas.openxmlformats.org/officeDocument/2006/relationships/hyperlink" Target="https://docs.litellm.ai/docs/proxy/budget_fallbacks" TargetMode="External" Id="rId43" /><Relationship Type="http://schemas.openxmlformats.org/officeDocument/2006/relationships/hyperlink" Target="https://developers.openai.com/api/docs/" TargetMode="External" Id="rId44" /><Relationship Type="http://schemas.openxmlformats.org/officeDocument/2006/relationships/hyperlink" Target="https://docs.anthropic.com/en/api/overview" TargetMode="External" Id="rId45" /><Relationship Type="http://schemas.openxmlformats.org/officeDocument/2006/relationships/hyperlink" Target="https://docs.vllm.ai/en/latest/" TargetMode="External" Id="rId46" /><Relationship Type="http://schemas.openxmlformats.org/officeDocument/2006/relationships/hyperlink" Target="https://github.com/vllm-project/vllm" TargetMode="External" Id="rId47" /><Relationship Type="http://schemas.openxmlformats.org/officeDocument/2006/relationships/hyperlink" Target="https://github.com/ollama/ollama" TargetMode="External" Id="rId48" /><Relationship Type="http://schemas.openxmlformats.org/officeDocument/2006/relationships/hyperlink" Target="https://huggingface.co/docs/transformers/en/main_classes/quantization" TargetMode="External" Id="rId49" /><Relationship Type="http://schemas.openxmlformats.org/officeDocument/2006/relationships/hyperlink" Target="https://developer.nvidia.com/tensorrt-llm" TargetMode="External" Id="rId50" /><Relationship Type="http://schemas.openxmlformats.org/officeDocument/2006/relationships/hyperlink" Target="https://arxiv.org/abs/2309.06180" TargetMode="External" Id="rId51" /><Relationship Type="http://schemas.openxmlformats.org/officeDocument/2006/relationships/hyperlink" Target="https://arxiv.org/abs/2211.17192" TargetMode="External" Id="rId52" /><Relationship Type="http://schemas.openxmlformats.org/officeDocument/2006/relationships/hyperlink" Target="https://developers.openai.com/api/docs/guides/prompt-engineering" TargetMode="External" Id="rId53" /><Relationship Type="http://schemas.openxmlformats.org/officeDocument/2006/relationships/hyperlink" Target="https://developers.openai.com/api/docs/guides/structured-outputs" TargetMode="External" Id="rId54" /><Relationship Type="http://schemas.openxmlformats.org/officeDocument/2006/relationships/hyperlink" Target="https://www.promptfoo.dev/docs/intro/" TargetMode="External" Id="rId55" /><Relationship Type="http://schemas.openxmlformats.org/officeDocument/2006/relationships/hyperlink" Target="https://developers.openai.com/api/docs/guides/function-calling" TargetMode="External" Id="rId56" /><Relationship Type="http://schemas.openxmlformats.org/officeDocument/2006/relationships/hyperlink" Target="https://platform.claude.com/docs/en/docs/build-with-claude/tool-use" TargetMode="External" Id="rId57" /><Relationship Type="http://schemas.openxmlformats.org/officeDocument/2006/relationships/hyperlink" Target="https://arxiv.org/abs/2201.11903" TargetMode="External" Id="rId58" /><Relationship Type="http://schemas.openxmlformats.org/officeDocument/2006/relationships/hyperlink" Target="https://owasp.org/www-project-top-10-for-large-language-model-applications/" TargetMode="External" Id="rId59" /><Relationship Type="http://schemas.openxmlformats.org/officeDocument/2006/relationships/hyperlink" Target="https://developers.openai.com/api/docs/guides/structured-outputs" TargetMode="External" Id="rId60" /><Relationship Type="http://schemas.openxmlformats.org/officeDocument/2006/relationships/hyperlink" Target="https://developers.openai.com/api/docs/guides/function-calling" TargetMode="External" Id="rId61" /><Relationship Type="http://schemas.openxmlformats.org/officeDocument/2006/relationships/hyperlink" Target="https://platform.claude.com/docs/en/docs/build-with-claude/tool-use" TargetMode="External" Id="rId62" /><Relationship Type="http://schemas.openxmlformats.org/officeDocument/2006/relationships/hyperlink" Target="https://ai.google.dev/gemini-api/docs/function-calling" TargetMode="External" Id="rId63" /><Relationship Type="http://schemas.openxmlformats.org/officeDocument/2006/relationships/hyperlink" Target="https://www.promptfoo.dev/docs/intro/" TargetMode="External" Id="rId64" /><Relationship Type="http://schemas.openxmlformats.org/officeDocument/2006/relationships/hyperlink" Target="https://developers.openai.com/api/docs/guides/prompt-engineering" TargetMode="External" Id="rId65" /><Relationship Type="http://schemas.openxmlformats.org/officeDocument/2006/relationships/hyperlink" Target="https://json-schema.org/learn/getting-started-step-by-step" TargetMode="External" Id="rId66" /><Relationship Type="http://schemas.openxmlformats.org/officeDocument/2006/relationships/hyperlink" Target="https://langchain-ai.github.io/langgraph/concepts/high_level/" TargetMode="External" Id="rId67" /><Relationship Type="http://schemas.openxmlformats.org/officeDocument/2006/relationships/hyperlink" Target="https://langchain-ai.github.io/langgraph/concepts/memory/" TargetMode="External" Id="rId68" /><Relationship Type="http://schemas.openxmlformats.org/officeDocument/2006/relationships/hyperlink" Target="https://langchain-ai.github.io/langgraph/concepts/persistence/" TargetMode="External" Id="rId69" /><Relationship Type="http://schemas.openxmlformats.org/officeDocument/2006/relationships/hyperlink" Target="https://python.langchain.com/docs/concepts/tools/" TargetMode="External" Id="rId70" /><Relationship Type="http://schemas.openxmlformats.org/officeDocument/2006/relationships/hyperlink" Target="https://arxiv.org/abs/2210.03629" TargetMode="External" Id="rId71" /><Relationship Type="http://schemas.openxmlformats.org/officeDocument/2006/relationships/hyperlink" Target="https://python.langchain.com/docs/concepts/tools/" TargetMode="External" Id="rId72" /><Relationship Type="http://schemas.openxmlformats.org/officeDocument/2006/relationships/hyperlink" Target="https://langchain-ai.github.io/langgraph/concepts/memory/" TargetMode="External" Id="rId73" /><Relationship Type="http://schemas.openxmlformats.org/officeDocument/2006/relationships/hyperlink" Target="https://langchain-ai.github.io/langgraph/concepts/persistence/" TargetMode="External" Id="rId74" /><Relationship Type="http://schemas.openxmlformats.org/officeDocument/2006/relationships/hyperlink" Target="https://langchain-ai.github.io/langgraph/concepts/high_level/" TargetMode="External" Id="rId75" /><Relationship Type="http://schemas.openxmlformats.org/officeDocument/2006/relationships/hyperlink" Target="https://arxiv.org/abs/2210.03629" TargetMode="External" Id="rId76" /><Relationship Type="http://schemas.openxmlformats.org/officeDocument/2006/relationships/hyperlink" Target="https://langchain-ai.github.io/langgraph/concepts/high_level/" TargetMode="External" Id="rId77" /><Relationship Type="http://schemas.openxmlformats.org/officeDocument/2006/relationships/hyperlink" Target="https://langchain-ai.github.io/langgraph/concepts/human_in_the_loop/" TargetMode="External" Id="rId78" /><Relationship Type="http://schemas.openxmlformats.org/officeDocument/2006/relationships/hyperlink" Target="https://langchain-ai.github.io/langgraph/concepts/streaming/" TargetMode="External" Id="rId79" /><Relationship Type="http://schemas.openxmlformats.org/officeDocument/2006/relationships/hyperlink" Target="https://langchain-ai.github.io/langgraph/concepts/multi_agent/" TargetMode="External" Id="rId80" /><Relationship Type="http://schemas.openxmlformats.org/officeDocument/2006/relationships/hyperlink" Target="https://docs.langchain.com/langsmith/home" TargetMode="External" Id="rId81" /><Relationship Type="http://schemas.openxmlformats.org/officeDocument/2006/relationships/hyperlink" Target="https://langchain-ai.github.io/langgraph/concepts/high_level/" TargetMode="External" Id="rId82" /><Relationship Type="http://schemas.openxmlformats.org/officeDocument/2006/relationships/hyperlink" Target="https://langchain-ai.github.io/langgraph/concepts/human_in_the_loop/" TargetMode="External" Id="rId83" /><Relationship Type="http://schemas.openxmlformats.org/officeDocument/2006/relationships/hyperlink" Target="https://arxiv.org/abs/2210.03629" TargetMode="External" Id="rId84" /><Relationship Type="http://schemas.openxmlformats.org/officeDocument/2006/relationships/hyperlink" Target="https://docs.langchain.com/langsmith/home" TargetMode="External" Id="rId85" /><Relationship Type="http://schemas.openxmlformats.org/officeDocument/2006/relationships/hyperlink" Target="https://arxiv.org/abs/2005.11401" TargetMode="External" Id="rId86" /><Relationship Type="http://schemas.openxmlformats.org/officeDocument/2006/relationships/hyperlink" Target="https://docs.llamaindex.ai/en/stable/" TargetMode="External" Id="rId87" /><Relationship Type="http://schemas.openxmlformats.org/officeDocument/2006/relationships/hyperlink" Target="https://python.langchain.com/docs/concepts/rag/" TargetMode="External" Id="rId88" /><Relationship Type="http://schemas.openxmlformats.org/officeDocument/2006/relationships/hyperlink" Target="https://docs.pinecone.io/guides/get-started/overview" TargetMode="External" Id="rId89" /><Relationship Type="http://schemas.openxmlformats.org/officeDocument/2006/relationships/hyperlink" Target="https://docs.cohere.com/docs/rerank-overview" TargetMode="External" Id="rId90" /><Relationship Type="http://schemas.openxmlformats.org/officeDocument/2006/relationships/hyperlink" Target="https://microsoft.github.io/graphrag/" TargetMode="External" Id="rId91" /><Relationship Type="http://schemas.openxmlformats.org/officeDocument/2006/relationships/hyperlink" Target="https://arxiv.org/abs/2005.11401" TargetMode="External" Id="rId92" /><Relationship Type="http://schemas.openxmlformats.org/officeDocument/2006/relationships/hyperlink" Target="https://docs.llamaindex.ai/en/stable/" TargetMode="External" Id="rId93" /><Relationship Type="http://schemas.openxmlformats.org/officeDocument/2006/relationships/hyperlink" Target="https://python.langchain.com/docs/concepts/rag/" TargetMode="External" Id="rId94" /><Relationship Type="http://schemas.openxmlformats.org/officeDocument/2006/relationships/hyperlink" Target="https://docs.pinecone.io/guides/get-started/overview" TargetMode="External" Id="rId95" /><Relationship Type="http://schemas.openxmlformats.org/officeDocument/2006/relationships/hyperlink" Target="https://docs.cohere.com/docs/rerank-overview" TargetMode="External" Id="rId96" /><Relationship Type="http://schemas.openxmlformats.org/officeDocument/2006/relationships/hyperlink" Target="https://microsoft.github.io/graphrag/" TargetMode="External" Id="rId97" /><Relationship Type="http://schemas.openxmlformats.org/officeDocument/2006/relationships/hyperlink" Target="https://arxiv.org/abs/2005.11401" TargetMode="External" Id="rId98" /><Relationship Type="http://schemas.openxmlformats.org/officeDocument/2006/relationships/hyperlink" Target="https://docs.llamaindex.ai/en/stable/" TargetMode="External" Id="rId99" /><Relationship Type="http://schemas.openxmlformats.org/officeDocument/2006/relationships/hyperlink" Target="https://python.langchain.com/docs/concepts/rag/" TargetMode="External" Id="rId100" /><Relationship Type="http://schemas.openxmlformats.org/officeDocument/2006/relationships/hyperlink" Target="https://docs.pinecone.io/guides/get-started/overview" TargetMode="External" Id="rId101" /><Relationship Type="http://schemas.openxmlformats.org/officeDocument/2006/relationships/hyperlink" Target="https://docs.cohere.com/docs/rerank-overview" TargetMode="External" Id="rId102" /><Relationship Type="http://schemas.openxmlformats.org/officeDocument/2006/relationships/hyperlink" Target="https://microsoft.github.io/graphrag/" TargetMode="External" Id="rId103" /><Relationship Type="http://schemas.openxmlformats.org/officeDocument/2006/relationships/hyperlink" Target="https://arxiv.org/abs/2005.11401" TargetMode="External" Id="rId104" /><Relationship Type="http://schemas.openxmlformats.org/officeDocument/2006/relationships/hyperlink" Target="https://docs.llamaindex.ai/en/stable/" TargetMode="External" Id="rId105" /><Relationship Type="http://schemas.openxmlformats.org/officeDocument/2006/relationships/hyperlink" Target="https://python.langchain.com/docs/concepts/rag/" TargetMode="External" Id="rId106" /><Relationship Type="http://schemas.openxmlformats.org/officeDocument/2006/relationships/hyperlink" Target="https://docs.pinecone.io/guides/get-started/overview" TargetMode="External" Id="rId107" /><Relationship Type="http://schemas.openxmlformats.org/officeDocument/2006/relationships/hyperlink" Target="https://docs.cohere.com/docs/rerank-overview" TargetMode="External" Id="rId108" /><Relationship Type="http://schemas.openxmlformats.org/officeDocument/2006/relationships/hyperlink" Target="https://microsoft.github.io/graphrag/" TargetMode="External" Id="rId109" /><Relationship Type="http://schemas.openxmlformats.org/officeDocument/2006/relationships/hyperlink" Target="https://langchain-ai.github.io/langgraph/concepts/multi_agent/" TargetMode="External" Id="rId110" /><Relationship Type="http://schemas.openxmlformats.org/officeDocument/2006/relationships/hyperlink" Target="https://langchain-ai.github.io/langgraph/concepts/low_level/" TargetMode="External" Id="rId111" /><Relationship Type="http://schemas.openxmlformats.org/officeDocument/2006/relationships/hyperlink" Target="https://microsoft.github.io/autogen/stable//index.html" TargetMode="External" Id="rId112" /><Relationship Type="http://schemas.openxmlformats.org/officeDocument/2006/relationships/hyperlink" Target="https://docs.crewai.com/" TargetMode="External" Id="rId113" /><Relationship Type="http://schemas.openxmlformats.org/officeDocument/2006/relationships/hyperlink" Target="https://arxiv.org/abs/2308.08155" TargetMode="External" Id="rId114" /><Relationship Type="http://schemas.openxmlformats.org/officeDocument/2006/relationships/hyperlink" Target="https://langchain-ai.github.io/langgraph/concepts/multi_agent/" TargetMode="External" Id="rId115" /><Relationship Type="http://schemas.openxmlformats.org/officeDocument/2006/relationships/hyperlink" Target="https://arxiv.org/abs/2308.08155" TargetMode="External" Id="rId116" /><Relationship Type="http://schemas.openxmlformats.org/officeDocument/2006/relationships/hyperlink" Target="https://langchain-ai.github.io/langgraph/concepts/multi_agent/" TargetMode="External" Id="rId117" /><Relationship Type="http://schemas.openxmlformats.org/officeDocument/2006/relationships/hyperlink" Target="https://docs.crewai.com/" TargetMode="External" Id="rId118" /><Relationship Type="http://schemas.openxmlformats.org/officeDocument/2006/relationships/hyperlink" Target="https://microsoft.github.io/autogen/stable//index.html" TargetMode="External" Id="rId119" /><Relationship Type="http://schemas.openxmlformats.org/officeDocument/2006/relationships/hyperlink" Target="https://arxiv.org/abs/2308.08155" TargetMode="External" Id="rId120" /><Relationship Type="http://schemas.openxmlformats.org/officeDocument/2006/relationships/hyperlink" Target="https://platform.openai.com/docs/guides/speech-to-text" TargetMode="External" Id="rId121" /><Relationship Type="http://schemas.openxmlformats.org/officeDocument/2006/relationships/hyperlink" Target="https://platform.openai.com/docs/guides/text-to-speech" TargetMode="External" Id="rId122" /><Relationship Type="http://schemas.openxmlformats.org/officeDocument/2006/relationships/hyperlink" Target="https://platform.openai.com/docs/guides/realtime" TargetMode="External" Id="rId123" /><Relationship Type="http://schemas.openxmlformats.org/officeDocument/2006/relationships/hyperlink" Target="https://github.com/SYSTRAN/faster-whisper" TargetMode="External" Id="rId124" /><Relationship Type="http://schemas.openxmlformats.org/officeDocument/2006/relationships/hyperlink" Target="https://github.com/wiseman/py-webrtcvad" TargetMode="External" Id="rId125" /><Relationship Type="http://schemas.openxmlformats.org/officeDocument/2006/relationships/hyperlink" Target="https://developers.deepgram.com/docs/streaming" TargetMode="External" Id="rId126" /><Relationship Type="http://schemas.openxmlformats.org/officeDocument/2006/relationships/hyperlink" Target="https://elevenlabs.io/docs/api-reference/text-to-speech" TargetMode="External" Id="rId127" /><Relationship Type="http://schemas.openxmlformats.org/officeDocument/2006/relationships/hyperlink" Target="https://platform.openai.com/docs/guides/images-vision" TargetMode="External" Id="rId128" /><Relationship Type="http://schemas.openxmlformats.org/officeDocument/2006/relationships/hyperlink" Target="https://platform.claude.com/docs/en/build-with-claude/vision" TargetMode="External" Id="rId129" /><Relationship Type="http://schemas.openxmlformats.org/officeDocument/2006/relationships/hyperlink" Target="https://ai.google.dev/gemini-api/docs/vision" TargetMode="External" Id="rId130" /><Relationship Type="http://schemas.openxmlformats.org/officeDocument/2006/relationships/hyperlink" Target="https://pymupdf.readthedocs.io/" TargetMode="External" Id="rId131" /><Relationship Type="http://schemas.openxmlformats.org/officeDocument/2006/relationships/hyperlink" Target="https://layout-parser.github.io/" TargetMode="External" Id="rId132" /><Relationship Type="http://schemas.openxmlformats.org/officeDocument/2006/relationships/hyperlink" Target="https://deepeval.com/docs/multimodal-metrics" TargetMode="External" Id="rId133" /><Relationship Type="http://schemas.openxmlformats.org/officeDocument/2006/relationships/hyperlink" Target="https://modelcontextprotocol.io/docs/getting-started/intro" TargetMode="External" Id="rId134" /><Relationship Type="http://schemas.openxmlformats.org/officeDocument/2006/relationships/hyperlink" Target="https://github.com/modelcontextprotocol/python-sdk" TargetMode="External" Id="rId135" /><Relationship Type="http://schemas.openxmlformats.org/officeDocument/2006/relationships/hyperlink" Target="https://modelcontextprotocol.io/specification" TargetMode="External" Id="rId136" /><Relationship Type="http://schemas.openxmlformats.org/officeDocument/2006/relationships/hyperlink" Target="https://www.anthropic.com/news/model-context-protocol" TargetMode="External" Id="rId137" /><Relationship Type="http://schemas.openxmlformats.org/officeDocument/2006/relationships/hyperlink" Target="https://docs.cursor.com/context/mcp" TargetMode="External" Id="rId138" /><Relationship Type="http://schemas.openxmlformats.org/officeDocument/2006/relationships/hyperlink" Target="https://a2a-protocol.org/latest/" TargetMode="External" Id="rId139" /><Relationship Type="http://schemas.openxmlformats.org/officeDocument/2006/relationships/hyperlink" Target="https://github.com/a2aproject/A2A" TargetMode="External" Id="rId140" /><Relationship Type="http://schemas.openxmlformats.org/officeDocument/2006/relationships/hyperlink" Target="https://developers.googleblog.com/en/a2a-a-new-era-of-agent-interoperability/" TargetMode="External" Id="rId141" /><Relationship Type="http://schemas.openxmlformats.org/officeDocument/2006/relationships/hyperlink" Target="https://modelcontextprotocol.io/docs/getting-started/intro" TargetMode="External" Id="rId142" /><Relationship Type="http://schemas.openxmlformats.org/officeDocument/2006/relationships/hyperlink" Target="https://langchain-ai.github.io/langgraph/concepts/multi_agent/" TargetMode="External" Id="rId143" /><Relationship Type="http://schemas.openxmlformats.org/officeDocument/2006/relationships/hyperlink" Target="https://a2a-protocol.org/latest/" TargetMode="External" Id="rId144" /><Relationship Type="http://schemas.openxmlformats.org/officeDocument/2006/relationships/hyperlink" Target="https://langchain-ai.github.io/langgraph/concepts/persistence/" TargetMode="External" Id="rId145" /><Relationship Type="http://schemas.openxmlformats.org/officeDocument/2006/relationships/hyperlink" Target="https://docs.temporal.io/workflows" TargetMode="External" Id="rId146" /><Relationship Type="http://schemas.openxmlformats.org/officeDocument/2006/relationships/hyperlink" Target="https://opentelemetry.io/docs/" TargetMode="External" Id="rId147" /><Relationship Type="http://schemas.openxmlformats.org/officeDocument/2006/relationships/hyperlink" Target="https://www.enterpriseintegrationpatterns.com/" TargetMode="External" Id="rId148" /><Relationship Type="http://schemas.openxmlformats.org/officeDocument/2006/relationships/hyperlink" Target="https://modelcontextprotocol.io/" TargetMode="External" Id="rId149" /><Relationship Type="http://schemas.openxmlformats.org/officeDocument/2006/relationships/hyperlink" Target="https://spec.modelcontextprotocol.io/" TargetMode="External" Id="rId150" /><Relationship Type="http://schemas.openxmlformats.org/officeDocument/2006/relationships/hyperlink" Target="https://github.com/modelcontextprotocol/python-sdk" TargetMode="External" Id="rId151" /><Relationship Type="http://schemas.openxmlformats.org/officeDocument/2006/relationships/hyperlink" Target="https://docs.cursor.com/" TargetMode="External" Id="rId152" /><Relationship Type="http://schemas.openxmlformats.org/officeDocument/2006/relationships/hyperlink" Target="https://support.anthropic.com/" TargetMode="External" Id="rId153" /><Relationship Type="http://schemas.openxmlformats.org/officeDocument/2006/relationships/hyperlink" Target="https://www.openpolicyagent.org/docs/latest/" TargetMode="External" Id="rId154" /><Relationship Type="http://schemas.openxmlformats.org/officeDocument/2006/relationships/hyperlink" Target="https://owasp.org/www-project-top-10-for-large-language-model-applications/" TargetMode="External" Id="rId155" /><Relationship Type="http://schemas.openxmlformats.org/officeDocument/2006/relationships/hyperlink" Target="https://deepeval.com/docs/getting-started" TargetMode="External" Id="rId156" /><Relationship Type="http://schemas.openxmlformats.org/officeDocument/2006/relationships/hyperlink" Target="https://deepeval.com/docs/metrics-llm-evals" TargetMode="External" Id="rId157" /><Relationship Type="http://schemas.openxmlformats.org/officeDocument/2006/relationships/hyperlink" Target="https://docs.smith.langchain.com/evaluation" TargetMode="External" Id="rId158" /><Relationship Type="http://schemas.openxmlformats.org/officeDocument/2006/relationships/hyperlink" Target="https://platform.openai.com/docs/guides/evals" TargetMode="External" Id="rId159" /><Relationship Type="http://schemas.openxmlformats.org/officeDocument/2006/relationships/hyperlink" Target="https://crfm.stanford.edu/helm/" TargetMode="External" Id="rId160" /><Relationship Type="http://schemas.openxmlformats.org/officeDocument/2006/relationships/hyperlink" Target="https://docs.smith.langchain.com/" TargetMode="External" Id="rId161" /><Relationship Type="http://schemas.openxmlformats.org/officeDocument/2006/relationships/hyperlink" Target="https://docs.smith.langchain.com/tracing" TargetMode="External" Id="rId162" /><Relationship Type="http://schemas.openxmlformats.org/officeDocument/2006/relationships/hyperlink" Target="https://opentelemetry.io/docs/" TargetMode="External" Id="rId163" /><Relationship Type="http://schemas.openxmlformats.org/officeDocument/2006/relationships/hyperlink" Target="https://opentelemetry.io/docs/specs/semconv/gen-ai/" TargetMode="External" Id="rId164" /><Relationship Type="http://schemas.openxmlformats.org/officeDocument/2006/relationships/hyperlink" Target="https://github.com/traceloop/openllmetry" TargetMode="External" Id="rId165" /><Relationship Type="http://schemas.openxmlformats.org/officeDocument/2006/relationships/hyperlink" Target="https://www.promptfoo.dev/docs/intro/" TargetMode="External" Id="rId166" /><Relationship Type="http://schemas.openxmlformats.org/officeDocument/2006/relationships/hyperlink" Target="https://www.promptfoo.dev/docs/red-team/" TargetMode="External" Id="rId167" /><Relationship Type="http://schemas.openxmlformats.org/officeDocument/2006/relationships/hyperlink" Target="https://owasp.org/www-project-top-10-for-large-language-model-applications/" TargetMode="External" Id="rId168" /><Relationship Type="http://schemas.openxmlformats.org/officeDocument/2006/relationships/hyperlink" Target="https://microsoft.github.io/presidio/" TargetMode="External" Id="rId169" /><Relationship Type="http://schemas.openxmlformats.org/officeDocument/2006/relationships/hyperlink" Target="https://platform.openai.com/docs/guides/moderation" TargetMode="External" Id="rId170" /><Relationship Type="http://schemas.openxmlformats.org/officeDocument/2006/relationships/hyperlink" Target="https://www.nist.gov/itl/ai-risk-management-framework" TargetMode="External" Id="rId171" /><Relationship Type="http://schemas.openxmlformats.org/officeDocument/2006/relationships/hyperlink" Target="https://huggingface.co/docs/peft/index" TargetMode="External" Id="rId172" /><Relationship Type="http://schemas.openxmlformats.org/officeDocument/2006/relationships/hyperlink" Target="https://arxiv.org/abs/2106.09685" TargetMode="External" Id="rId173" /><Relationship Type="http://schemas.openxmlformats.org/officeDocument/2006/relationships/hyperlink" Target="https://arxiv.org/abs/2305.14314" TargetMode="External" Id="rId174" /><Relationship Type="http://schemas.openxmlformats.org/officeDocument/2006/relationships/hyperlink" Target="https://huggingface.co/docs/trl/sft_trainer" TargetMode="External" Id="rId175" /><Relationship Type="http://schemas.openxmlformats.org/officeDocument/2006/relationships/hyperlink" Target="https://github.com/TimDettmers/bitsandbytes" TargetMode="External" Id="rId176" /><Relationship Type="http://schemas.openxmlformats.org/officeDocument/2006/relationships/hyperlink" Target="https://docs.vllm.ai/en/latest/" TargetMode="External" Id="rId177" /><Relationship Type="http://schemas.openxmlformats.org/officeDocument/2006/relationships/hyperlink" Target="https://arxiv.org/abs/2005.11401" TargetMode="External" Id="rId178" /><Relationship Type="http://schemas.openxmlformats.org/officeDocument/2006/relationships/hyperlink" Target="https://arxiv.org/abs/2106.09685" TargetMode="External" Id="rId179" /><Relationship Type="http://schemas.openxmlformats.org/officeDocument/2006/relationships/hyperlink" Target="https://huggingface.co/docs/peft/index" TargetMode="External" Id="rId180" /><Relationship Type="http://schemas.openxmlformats.org/officeDocument/2006/relationships/hyperlink" Target="https://python.langchain.com/docs/concepts/rag/" TargetMode="External" Id="rId181" /><Relationship Type="http://schemas.openxmlformats.org/officeDocument/2006/relationships/hyperlink" Target="https://dspy.ai/" TargetMode="External" Id="rId182" /><Relationship Type="http://schemas.openxmlformats.org/officeDocument/2006/relationships/hyperlink" Target="https://docs.vllm.ai/en/latest/" TargetMode="External" Id="rId183" /><Relationship Type="http://schemas.openxmlformats.org/officeDocument/2006/relationships/hyperlink" Target="https://huggingface.co/docs/peft/index" TargetMode="External" Id="rId184" /><Relationship Type="http://schemas.openxmlformats.org/officeDocument/2006/relationships/hyperlink" Target="https://github.com/vllm-project/vllm" TargetMode="External" Id="rId185" /><Relationship Type="http://schemas.openxmlformats.org/officeDocument/2006/relationships/hyperlink" Target="https://fastapi.tiangolo.com/" TargetMode="External" Id="rId186" /><Relationship Type="http://schemas.openxmlformats.org/officeDocument/2006/relationships/hyperlink" Target="https://fastapi.tiangolo.com/" TargetMode="External" Id="rId187" /><Relationship Type="http://schemas.openxmlformats.org/officeDocument/2006/relationships/hyperlink" Target="https://www.uvicorn.org/" TargetMode="External" Id="rId188" /><Relationship Type="http://schemas.openxmlformats.org/officeDocument/2006/relationships/hyperlink" Target="https://github.com/openai/openai-python" TargetMode="External" Id="rId189" /><Relationship Type="http://schemas.openxmlformats.org/officeDocument/2006/relationships/hyperlink" Target="https://kubernetes.io/docs/home/" TargetMode="External" Id="rId190" /><Relationship Type="http://schemas.openxmlformats.org/officeDocument/2006/relationships/hyperlink" Target="https://docs.docker.com/" TargetMode="External" Id="rId191" /><Relationship Type="http://schemas.openxmlformats.org/officeDocument/2006/relationships/hyperlink" Target="https://docs.vllm.ai/en/latest/" TargetMode="External" Id="rId192" /><Relationship Type="http://schemas.openxmlformats.org/officeDocument/2006/relationships/hyperlink" Target="https://docs.vllm.ai/en/latest/" TargetMode="External" Id="rId193" /><Relationship Type="http://schemas.openxmlformats.org/officeDocument/2006/relationships/hyperlink" Target="https://openai.com/api/pricing/" TargetMode="External" Id="rId194" /><Relationship Type="http://schemas.openxmlformats.org/officeDocument/2006/relationships/hyperlink" Target="https://redis.io/docs/latest/" TargetMode="External" Id="rId195" /><Relationship Type="http://schemas.openxmlformats.org/officeDocument/2006/relationships/hyperlink" Target="https://kafka.apache.org/documentation/" TargetMode="External" Id="rId196" /><Relationship Type="http://schemas.openxmlformats.org/officeDocument/2006/relationships/hyperlink" Target="https://docs.ray.io/en/latest/" TargetMode="External" Id="rId197" /><Relationship Type="http://schemas.openxmlformats.org/officeDocument/2006/relationships/hyperlink" Target="https://owasp.org/www-project-top-10-for-large-language-model-applications/" TargetMode="External" Id="rId198" /><Relationship Type="http://schemas.openxmlformats.org/officeDocument/2006/relationships/hyperlink" Target="https://www.nist.gov/itl/ai-risk-management-framework" TargetMode="External" Id="rId199" /><Relationship Type="http://schemas.openxmlformats.org/officeDocument/2006/relationships/hyperlink" Target="https://owasp.org/www-project-top-10-for-large-language-model-applications/" TargetMode="External" Id="rId200" /><Relationship Type="http://schemas.openxmlformats.org/officeDocument/2006/relationships/hyperlink" Target="https://www.promptfoo.dev/docs/intro/" TargetMode="External" Id="rId201" /><Relationship Type="http://schemas.openxmlformats.org/officeDocument/2006/relationships/hyperlink" Target="https://deepeval.com/docs/getting-started" TargetMode="External" Id="rId202" /><Relationship Type="http://schemas.openxmlformats.org/officeDocument/2006/relationships/hyperlink" Target="https://arxiv.org/abs/1809.00635" TargetMode="External" Id="rId203" /><Relationship Type="http://schemas.openxmlformats.org/officeDocument/2006/relationships/hyperlink" Target="https://bird-bench.github.io/" TargetMode="External" Id="rId204" /><Relationship Type="http://schemas.openxmlformats.org/officeDocument/2006/relationships/hyperlink" Target="https://dspy.ai/" TargetMode="External" Id="rId205" /><Relationship Type="http://schemas.openxmlformats.org/officeDocument/2006/relationships/hyperlink" Target="https://github.com/stanfordnlp/dspy" TargetMode="External" Id="rId206" /><Relationship Type="http://schemas.openxmlformats.org/officeDocument/2006/relationships/hyperlink" Target="https://docs.cursor.com/" TargetMode="External" Id="rId207" /><Relationship Type="http://schemas.openxmlformats.org/officeDocument/2006/relationships/hyperlink" Target="https://docs.cursor.com/context/model-context-protocol" TargetMode="External" Id="rId208" /><Relationship Type="http://schemas.openxmlformats.org/officeDocument/2006/relationships/hyperlink" Target="https://docs.anthropic.com/en/docs/claude-code/overview" TargetMode="External" Id="rId209" /><Relationship Type="http://schemas.openxmlformats.org/officeDocument/2006/relationships/hyperlink" Target="https://docs.anthropic.com/en/docs/claude-code/security" TargetMode="External" Id="rId210" /><Relationship Type="http://schemas.openxmlformats.org/officeDocument/2006/relationships/hyperlink" Target="https://platform.openai.com/docs/codex" TargetMode="External" Id="rId211" /><Relationship Type="http://schemas.openxmlformats.org/officeDocument/2006/relationships/hyperlink" Target="https://platform.openai.com/docs/guides/agents" TargetMode="External" Id="rId212" /><Relationship Type="http://schemas.openxmlformats.org/officeDocument/2006/relationships/hyperlink" Target="https://modelcontextprotocol.io/" TargetMode="External" Id="rId213" /><Relationship Type="http://schemas.openxmlformats.org/officeDocument/2006/relationships/hyperlink" Target="https://spec.modelcontextprotocol.io/" TargetMode="External" Id="rId214" /><Relationship Type="http://schemas.openxmlformats.org/officeDocument/2006/relationships/hyperlink" Target="https://owasp.org/www-project-top-10-for-large-language-model-applications/" TargetMode="External" Id="rId215" /><Relationship Type="http://schemas.openxmlformats.org/officeDocument/2006/relationships/hyperlink" Target="https://www.nist.gov/itl/ai-risk-management-framework" TargetMode="External" Id="rId216" /><Relationship Type="http://schemas.openxmlformats.org/officeDocument/2006/relationships/hyperlink" Target="https://nvlpubs.nist.gov/nistpubs/ai/NIST.AI.100-1.pdf" TargetMode="External" Id="rId217" /><Relationship Type="http://schemas.openxmlformats.org/officeDocument/2006/relationships/hyperlink" Target="https://oecd.ai/en/ai-principles" TargetMode="External" Id="rId218" /><Relationship Type="http://schemas.openxmlformats.org/officeDocument/2006/relationships/hyperlink" Target="https://pair.withgoogle.com/guidebook/" TargetMode="External" Id="rId219" /><Relationship Type="http://schemas.openxmlformats.org/officeDocument/2006/relationships/hyperlink" Target="https://www.microsoft.com/en-us/ai/responsible-ai" TargetMode="External" Id="rId220" /><Relationship Type="http://schemas.openxmlformats.org/officeDocument/2006/relationships/hyperlink" Target="https://platform.openai.com/docs/guides/safety-best-practices" TargetMode="External" Id="rId221" /><Relationship Type="http://schemas.openxmlformats.org/officeDocument/2006/relationships/hyperlink" Target="https://owasp.org/www-project-top-10-for-large-language-model-applications/" TargetMode="External" Id="rId222" /><Relationship Type="http://schemas.openxmlformats.org/officeDocument/2006/relationships/hyperlink" Target="https://eur-lex.europa.eu/eli/reg/2024/1689/oj" TargetMode="External" Id="rId223" /><Relationship Type="http://schemas.openxmlformats.org/officeDocument/2006/relationships/hyperlink" Target="https://docs.github.com/en/copilot" TargetMode="External" Id="rId224" /><Relationship Type="http://schemas.openxmlformats.org/officeDocument/2006/relationships/hyperlink" Target="https://cursor.com/docs" TargetMode="External" Id="rId225" /><Relationship Type="http://schemas.openxmlformats.org/officeDocument/2006/relationships/hyperlink" Target="https://arxiv.org/abs/2308.12950" TargetMode="External" Id="rId226" /><Relationship Type="http://schemas.openxmlformats.org/officeDocument/2006/relationships/hyperlink" Target="https://www.swebench.com/" TargetMode="External" Id="rId227" /><Relationship Type="http://schemas.openxmlformats.org/officeDocument/2006/relationships/hyperlink" Target="https://tree-sitter.github.io/tree-sitter/" TargetMode="External" Id="rId228" /><Relationship Type="http://schemas.openxmlformats.org/officeDocument/2006/relationships/hyperlink" Target="https://www.zendesk.com/service/ai/" TargetMode="External" Id="rId229" /><Relationship Type="http://schemas.openxmlformats.org/officeDocument/2006/relationships/hyperlink" Target="https://www.intercom.com/fin" TargetMode="External" Id="rId230" /><Relationship Type="http://schemas.openxmlformats.org/officeDocument/2006/relationships/hyperlink" Target="https://www.salesforce.com/service/ai/" TargetMode="External" Id="rId231" /><Relationship Type="http://schemas.openxmlformats.org/officeDocument/2006/relationships/hyperlink" Target="https://owasp.org/www-project-top-10-for-large-language-model-applications/" TargetMode="External" Id="rId232" /><Relationship Type="http://schemas.openxmlformats.org/officeDocument/2006/relationships/hyperlink" Target="https://www.axelos.com/certifications/itil-service-management" TargetMode="External" Id="rId233" /><Relationship Type="http://schemas.openxmlformats.org/officeDocument/2006/relationships/hyperlink" Target="https://openai.com/index/introducing-deep-research/" TargetMode="External" Id="rId234" /><Relationship Type="http://schemas.openxmlformats.org/officeDocument/2006/relationships/hyperlink" Target="https://blog.google/products/gemini/google-gemini-deep-research/" TargetMode="External" Id="rId235" /><Relationship Type="http://schemas.openxmlformats.org/officeDocument/2006/relationships/hyperlink" Target="https://arxiv.org/abs/2210.03629" TargetMode="External" Id="rId236" /><Relationship Type="http://schemas.openxmlformats.org/officeDocument/2006/relationships/hyperlink" Target="https://langchain-ai.github.io/langgraph/concepts/persistence/" TargetMode="External" Id="rId237" /><Relationship Type="http://schemas.openxmlformats.org/officeDocument/2006/relationships/hyperlink" Target="https://arxiv.org/abs/2404.05990" TargetMode="External" Id="rId238" /><Relationship Type="http://schemas.openxmlformats.org/officeDocument/2006/relationships/hyperlink" Target="https://docs.perplexity.ai/" TargetMode="External" Id="rId239" /><Relationship Type="http://schemas.openxmlformats.org/officeDocument/2006/relationships/hyperlink" Target="https://learn.microsoft.com/en-us/bing/search-apis/bing-web-search/overview" TargetMode="External" Id="rId240" /><Relationship Type="http://schemas.openxmlformats.org/officeDocument/2006/relationships/hyperlink" Target="https://research.google/blog/dear-google-search-its-time-for-rag/" TargetMode="External" Id="rId241" /><Relationship Type="http://schemas.openxmlformats.org/officeDocument/2006/relationships/hyperlink" Target="https://arxiv.org/abs/1206.2081" TargetMode="External" Id="rId242" /><Relationship Type="http://schemas.openxmlformats.org/officeDocument/2006/relationships/hyperlink" Target="https://owasp.org/www-project-top-10-for-large-language-model-applications/" TargetMode="External" Id="rId243" /><Relationship Type="http://schemas.openxmlformats.org/officeDocument/2006/relationships/hyperlink" Target="https://platform.openai.com/docs/guides/realtime" TargetMode="External" Id="rId244" /><Relationship Type="http://schemas.openxmlformats.org/officeDocument/2006/relationships/hyperlink" Target="https://webrtc.org/getting-started/overview" TargetMode="External" Id="rId245" /><Relationship Type="http://schemas.openxmlformats.org/officeDocument/2006/relationships/hyperlink" Target="https://arxiv.org/abs/2212.04356" TargetMode="External" Id="rId246" /><Relationship Type="http://schemas.openxmlformats.org/officeDocument/2006/relationships/hyperlink" Target="https://arxiv.org/abs/2406.11776" TargetMode="External" Id="rId247" /><Relationship Type="http://schemas.openxmlformats.org/officeDocument/2006/relationships/hyperlink" Target="https://ai.googleblog.com/2018/05/duplex-ai-system-for-natural-conversation.html" TargetMode="External" Id="rId248" /><Relationship Type="http://schemas.openxmlformats.org/officeDocument/2006/relationships/hyperlink" Target="https://developers.openai.com/api/docs/" TargetMode="External" Id="rId249" /><Relationship Type="http://schemas.openxmlformats.org/officeDocument/2006/relationships/hyperlink" Target="https://owasp.org/www-project-top-10-for-large-language-model-applications/" TargetMode="External" Id="rId250" /><Relationship Type="http://schemas.openxmlformats.org/officeDocument/2006/relationships/hyperlink" Target="https://langchain-ai.github.io/langgraph/concepts/high_level/" TargetMode="External" Id="rId251" /><Relationship Type="http://schemas.openxmlformats.org/officeDocument/2006/relationships/hyperlink" Target="https://arxiv.org/abs/2210.03629" TargetMode="External" Id="rId252" /><Relationship Type="http://schemas.openxmlformats.org/officeDocument/2006/relationships/hyperlink" Target="https://arxiv.org/abs/2212.08073" TargetMode="External" Id="rId253" /><Relationship Type="http://schemas.openxmlformats.org/officeDocument/2006/relationships/hyperlink" Target="https://docs.anthropic.com/en/api/messages" TargetMode="External" Id="rId254" /><Relationship Type="http://schemas.openxmlformats.org/officeDocument/2006/relationships/hyperlink" Target="https://docs.anthropic.com/en/docs/build-with-claude/prompt-caching" TargetMode="External" Id="rId255" /><Relationship Type="http://schemas.openxmlformats.org/officeDocument/2006/relationships/hyperlink" Target="https://modelcontextprotocol.io/" TargetMode="External" Id="rId256" /><Relationship Type="http://schemas.openxmlformats.org/officeDocument/2006/relationships/hyperlink" Target="https://owasp.org/www-project-top-10-for-large-language-model-applications/" TargetMode="External" Id="rId257" /><Relationship Type="http://schemas.openxmlformats.org/officeDocument/2006/relationships/hyperlink" Target="https://arxiv.org/abs/2210.03629" TargetMode="External" Id="rId258" /><Relationship Type="http://schemas.openxmlformats.org/officeDocument/2006/relationships/hyperlink" Target="https://docs.cursor.com/" TargetMode="External" Id="rId259" /><Relationship Type="http://schemas.openxmlformats.org/officeDocument/2006/relationships/hyperlink" Target="https://modelcontextprotocol.io/" TargetMode="External" Id="rId260" /><Relationship Type="http://schemas.openxmlformats.org/officeDocument/2006/relationships/hyperlink" Target="https://arxiv.org/abs/2210.03629" TargetMode="External" Id="rId261" /><Relationship Type="http://schemas.openxmlformats.org/officeDocument/2006/relationships/hyperlink" Target="https://arxiv.org/abs/2312.10997" TargetMode="External" Id="rId262" /><Relationship Type="http://schemas.openxmlformats.org/officeDocument/2006/relationships/hyperlink" Target="https://code.visualstudio.com/api" TargetMode="External" Id="rId263" /><Relationship Type="http://schemas.openxmlformats.org/officeDocument/2006/relationships/hyperlink" Target="https://tree-sitter.github.io/tree-sitter/" TargetMode="External" Id="rId264" /><Relationship Type="http://schemas.openxmlformats.org/officeDocument/2006/relationships/hyperlink" Target="https://docs.github.com/en/copilot" TargetMode="External" Id="rId265" /><Relationship Type="http://schemas.openxmlformats.org/officeDocument/2006/relationships/hyperlink" Target="https://arxiv.org/abs/2204.05999" TargetMode="External" Id="rId266" /><Relationship Type="http://schemas.openxmlformats.org/officeDocument/2006/relationships/hyperlink" Target="https://arxiv.org/abs/2308.12950" TargetMode="External" Id="rId267" /><Relationship Type="http://schemas.openxmlformats.org/officeDocument/2006/relationships/hyperlink" Target="https://arxiv.org/abs/2309.06180" TargetMode="External" Id="rId268" /><Relationship Type="http://schemas.openxmlformats.org/officeDocument/2006/relationships/hyperlink" Target="https://platform.openai.com/docs/guides/code-generation" TargetMode="External" Id="rId269" /><Relationship Type="http://schemas.openxmlformats.org/officeDocument/2006/relationships/hyperlink" Target="https://owasp.org/www-project-top-10-for-large-language-model-applications/" TargetMode="External" Id="rId270" /><Relationship Type="http://schemas.openxmlformats.org/officeDocument/2006/relationships/hyperlink" Target="https://docs.temporal.io/" TargetMode="External" Id="rId271" /><Relationship Type="http://schemas.openxmlformats.org/officeDocument/2006/relationships/hyperlink" Target="https://langchain-ai.github.io/langgraph/" TargetMode="External" Id="rId272" /><Relationship Type="http://schemas.openxmlformats.org/officeDocument/2006/relationships/hyperlink" Target="https://modelcontextprotocol.io/" TargetMode="External" Id="rId273" /><Relationship Type="http://schemas.openxmlformats.org/officeDocument/2006/relationships/hyperlink" Target="https://langchain-ai.github.io/langgraph/concepts/persistence/" TargetMode="External" Id="rId274" /><Relationship Type="http://schemas.openxmlformats.org/officeDocument/2006/relationships/hyperlink" Target="https://platform.openai.com/docs/guides/evals" TargetMode="External" Id="rId275" /><Relationship Type="http://schemas.openxmlformats.org/officeDocument/2006/relationships/hyperlink" Target="https://developers.notion.com/" TargetMode="External" Id="rId276" /><Relationship Type="http://schemas.openxmlformats.org/officeDocument/2006/relationships/hyperlink" Target="https://www.notion.com/product/ai" TargetMode="External" Id="rId277" /><Relationship Type="http://schemas.openxmlformats.org/officeDocument/2006/relationships/hyperlink" Target="https://arxiv.org/abs/1608.03960" TargetMode="External" Id="rId278" /><Relationship Type="http://schemas.openxmlformats.org/officeDocument/2006/relationships/hyperlink" Target="https://research.google/pubs/pub48190/" TargetMode="External" Id="rId279" /><Relationship Type="http://schemas.openxmlformats.org/officeDocument/2006/relationships/hyperlink" Target="https://owasp.org/www-project-top-10-for-large-language-model-applications/" TargetMode="External" Id="rId280" /><Relationship Type="http://schemas.openxmlformats.org/officeDocument/2006/relationships/hyperlink" Target="https://docs.perplexity.ai/" TargetMode="External" Id="rId281" /><Relationship Type="http://schemas.openxmlformats.org/officeDocument/2006/relationships/hyperlink" Target="https://arxiv.org/abs/2005.11401" TargetMode="External" Id="rId282" /><Relationship Type="http://schemas.openxmlformats.org/officeDocument/2006/relationships/hyperlink" Target="https://arxiv.org/abs/2310.11511" TargetMode="External" Id="rId283" /><Relationship Type="http://schemas.openxmlformats.org/officeDocument/2006/relationships/hyperlink" Target="https://learn.microsoft.com/en-us/azure/ai-services/agents/how-to/tools/bing-grounding" TargetMode="External" Id="rId284" /><Relationship Type="http://schemas.openxmlformats.org/officeDocument/2006/relationships/hyperlink" Target="https://arxiv.org/abs/2310.03214" TargetMode="External" Id="rId285" /><Relationship Type="http://schemas.openxmlformats.org/officeDocument/2006/relationships/hyperlink" Target="https://owasp.org/www-project-top-10-for-large-language-model-applications/" TargetMode="External" Id="rId286" /><Relationship Type="http://schemas.openxmlformats.org/officeDocument/2006/relationships/hyperlink" Target="https://docs.slack.dev/" TargetMode="External" Id="rId287" /><Relationship Type="http://schemas.openxmlformats.org/officeDocument/2006/relationships/hyperlink" Target="https://slack.com/features/ai" TargetMode="External" Id="rId288" /><Relationship Type="http://schemas.openxmlformats.org/officeDocument/2006/relationships/hyperlink" Target="https://learn.microsoft.com/en-us/graph/permissions-reference" TargetMode="External" Id="rId289" /><Relationship Type="http://schemas.openxmlformats.org/officeDocument/2006/relationships/hyperlink" Target="https://owasp.org/www-project-top-10-for-large-language-model-applications/" TargetMode="External" Id="rId290" /><Relationship Type="http://schemas.openxmlformats.org/officeDocument/2006/relationships/hyperlink" Target="https://learn.microsoft.com/en-us/azure/search/search-security-trimming-for-azure-search" TargetMode="External" Id="rId2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GenAI Masterclass — Progress Tracker Workbook</t>
        </is>
      </c>
    </row>
    <row r="2">
      <c r="A2" t="inlineStr"/>
    </row>
    <row r="3">
      <c r="A3" s="2" t="inlineStr">
        <is>
          <t>How to use</t>
        </is>
      </c>
    </row>
    <row r="4">
      <c r="A4" t="inlineStr">
        <is>
          <t>1. Open Dashboard. Set G5 = your current week number.</t>
        </is>
      </c>
    </row>
    <row r="5">
      <c r="A5" t="inlineStr">
        <is>
          <t>2. Change Status only on Modules, SystemDesign, LeadershipCareer, Projects, Interviews, STAR.</t>
        </is>
      </c>
    </row>
    <row r="6">
      <c r="A6" t="inlineStr">
        <is>
          <t>3. Log study sessions on DailyLog (enter Module Code; Title/Week auto-fill).</t>
        </is>
      </c>
    </row>
    <row r="7">
      <c r="A7" t="inlineStr">
        <is>
          <t>4. Weekly Progress % and Dashboard KPIs calculate automatically.</t>
        </is>
      </c>
    </row>
    <row r="8">
      <c r="A8" t="inlineStr"/>
    </row>
    <row r="9">
      <c r="A9" s="2" t="inlineStr">
        <is>
          <t>Groups / subgroups / links</t>
        </is>
      </c>
    </row>
    <row r="10">
      <c r="A10" t="inlineStr">
        <is>
          <t>Group = major section (01 LLM Engineering, 04 RAG, …)</t>
        </is>
      </c>
    </row>
    <row r="11">
      <c r="A11" t="inlineStr">
        <is>
          <t>Subgroup = topic cluster inside a group</t>
        </is>
      </c>
    </row>
    <row r="12">
      <c r="A12" t="inlineStr">
        <is>
          <t>Modules.Week ↔ Weekly.Module Codes (same codes)</t>
        </is>
      </c>
    </row>
    <row r="13">
      <c r="A13" t="inlineStr">
        <is>
          <t>DailyLog.Module Code → VLOOKUP Title + Week from Modules</t>
        </is>
      </c>
    </row>
    <row r="14">
      <c r="A14" t="inlineStr">
        <is>
          <t>Projects.Week + Linked Module Codes ↔ Weekly / Modules</t>
        </is>
      </c>
    </row>
    <row r="15">
      <c r="A15" t="inlineStr">
        <is>
          <t>Interviews.Linked Modules / Linked Design ↔ study targets</t>
        </is>
      </c>
    </row>
    <row r="16">
      <c r="A16" t="inlineStr">
        <is>
          <t>SystemDesign.Linked Modules ↔ Modules codes</t>
        </is>
      </c>
    </row>
    <row r="17">
      <c r="A17" t="inlineStr">
        <is>
          <t>Resources sheet = Further Reading URLs extracted per Item ID (filter e.g. 04-01)</t>
        </is>
      </c>
    </row>
    <row r="18">
      <c r="A18" t="inlineStr">
        <is>
          <t>Modules!Resource Count / SystemDesign!Resource Count = COUNTIFS into Resources</t>
        </is>
      </c>
    </row>
    <row r="19">
      <c r="A19" t="inlineStr">
        <is>
          <t>Open Doc = opens module markdown (set Config!Link Mode + paths)</t>
        </is>
      </c>
    </row>
    <row r="20">
      <c r="A20" t="inlineStr">
        <is>
          <t>Resources!URL = open reading link directly without opening the doc</t>
        </is>
      </c>
    </row>
    <row r="21">
      <c r="A21" t="inlineStr">
        <is>
          <t>Resources!Open Parent Doc = jump to the chapter when you need depth</t>
        </is>
      </c>
    </row>
    <row r="22">
      <c r="A22" t="inlineStr"/>
    </row>
    <row r="23">
      <c r="A23" t="inlineStr">
        <is>
          <t>Recommended workflow</t>
        </is>
      </c>
    </row>
    <row r="24">
      <c r="A24" t="inlineStr">
        <is>
          <t>1) Track status on Modules / Weekly / Projects (sheet is source of truth for progress)</t>
        </is>
      </c>
    </row>
    <row r="25">
      <c r="A25" t="inlineStr">
        <is>
          <t>2) Need detail? click Open Doc on that row</t>
        </is>
      </c>
    </row>
    <row r="26">
      <c r="A26" t="inlineStr">
        <is>
          <t>3) Only need a paper/docs link? filter Resources by Item ID and click URL</t>
        </is>
      </c>
    </row>
    <row r="27">
      <c r="A27" t="inlineStr">
        <is>
          <t>4) After editing handbook Further Reading, re-run: python Tracker/build_tracker_xlsx.py</t>
        </is>
      </c>
    </row>
    <row r="28">
      <c r="A28" t="inlineStr"/>
    </row>
    <row r="29">
      <c r="A29" s="2" t="inlineStr">
        <is>
          <t>Status meanings</t>
        </is>
      </c>
    </row>
    <row r="30">
      <c r="A30" t="inlineStr">
        <is>
          <t>Not started | In progress | Done | Interview-ready</t>
        </is>
      </c>
    </row>
    <row r="31">
      <c r="A31" t="inlineStr"/>
    </row>
    <row r="32">
      <c r="A32" t="inlineStr">
        <is>
          <t>Open in Excel or upload to Google Sheets / Drive. See Workflow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8" customWidth="1" min="5" max="5"/>
    <col width="18" customWidth="1" min="6" max="6"/>
    <col width="42" customWidth="1" min="7" max="7"/>
    <col width="18" customWidth="1" min="8" max="8"/>
    <col width="10" customWidth="1" min="9" max="9"/>
  </cols>
  <sheetData>
    <row r="1">
      <c r="A1" s="1" t="inlineStr">
        <is>
          <t>GenAI Masterclass Dashboard</t>
        </is>
      </c>
    </row>
    <row r="2">
      <c r="A2" s="3" t="inlineStr">
        <is>
          <t>Yellow cell G5 = current week. Update Status on other sheets; this page calculates.</t>
        </is>
      </c>
    </row>
    <row r="3">
      <c r="A3" t="inlineStr">
        <is>
          <t>Track</t>
        </is>
      </c>
      <c r="B3" s="4" t="inlineStr">
        <is>
          <t>IC</t>
        </is>
      </c>
    </row>
    <row r="5">
      <c r="A5" s="2" t="inlineStr">
        <is>
          <t>KPIs</t>
        </is>
      </c>
      <c r="F5" s="2" t="inlineStr">
        <is>
          <t>This Week Focus</t>
        </is>
      </c>
    </row>
    <row r="6">
      <c r="A6" s="5" t="inlineStr">
        <is>
          <t>Modules Done+IR</t>
        </is>
      </c>
      <c r="B6" s="6">
        <f>COUNTIF(Modules!I:I,"Done")+COUNTIF(Modules!I:I,"Interview-ready")</f>
        <v/>
      </c>
      <c r="F6" t="inlineStr">
        <is>
          <t>Week # →</t>
        </is>
      </c>
      <c r="G6" s="7" t="n">
        <v>0</v>
      </c>
    </row>
    <row r="7">
      <c r="A7" s="5" t="inlineStr">
        <is>
          <t>Modules Total</t>
        </is>
      </c>
      <c r="B7" s="6" t="inlineStr">
        <is>
          <t>48</t>
        </is>
      </c>
      <c r="F7" s="5" t="inlineStr">
        <is>
          <t>Theme</t>
        </is>
      </c>
      <c r="G7" s="6">
        <f>IFERROR(VLOOKUP($G$6,Weekly!A:B,2,FALSE),"")</f>
        <v/>
      </c>
    </row>
    <row r="8">
      <c r="A8" s="5" t="inlineStr">
        <is>
          <t>Module Progress %</t>
        </is>
      </c>
      <c r="B8" s="8">
        <f>IF(B7=0,0,B6/B7)</f>
        <v/>
      </c>
      <c r="F8" s="5" t="inlineStr">
        <is>
          <t>Modules</t>
        </is>
      </c>
      <c r="G8" s="6">
        <f>IFERROR(VLOOKUP($G$6,Weekly!A:D,4,FALSE),"")</f>
        <v/>
      </c>
    </row>
    <row r="9">
      <c r="A9" s="5" t="inlineStr">
        <is>
          <t>Projects Done+IR</t>
        </is>
      </c>
      <c r="B9" s="6">
        <f>COUNTIF(Projects!F:F,"Done")+COUNTIF(Projects!F:F,"Interview-ready")</f>
        <v/>
      </c>
      <c r="F9" s="5" t="inlineStr">
        <is>
          <t>Project</t>
        </is>
      </c>
      <c r="G9" s="6">
        <f>IFERROR(VLOOKUP($G$6,Weekly!A:E,5,FALSE),"")</f>
        <v/>
      </c>
    </row>
    <row r="10">
      <c r="A10" s="5" t="inlineStr">
        <is>
          <t>Projects Total</t>
        </is>
      </c>
      <c r="B10" s="6" t="inlineStr">
        <is>
          <t>15</t>
        </is>
      </c>
      <c r="F10" s="5" t="inlineStr">
        <is>
          <t>Interview focus</t>
        </is>
      </c>
      <c r="G10" s="6">
        <f>IFERROR(VLOOKUP($G$6,Weekly!A:F,6,FALSE),"")</f>
        <v/>
      </c>
    </row>
    <row r="11">
      <c r="A11" s="5" t="inlineStr">
        <is>
          <t>Mocks Done</t>
        </is>
      </c>
      <c r="B11" s="6">
        <f>COUNTIF(Interviews!L:L,"Done")</f>
        <v/>
      </c>
      <c r="F11" s="5" t="inlineStr">
        <is>
          <t>Week Progress %</t>
        </is>
      </c>
      <c r="G11" s="8">
        <f>IFERROR(VLOOKUP($G$6,Weekly!A:L,12,FALSE),"")</f>
        <v/>
      </c>
    </row>
    <row r="12">
      <c r="A12" s="5" t="inlineStr">
        <is>
          <t>STAR Ready+</t>
        </is>
      </c>
      <c r="B12" s="6">
        <f>COUNTIF(STAR!F:F,"Ready")+COUNTIF(STAR!F:F,"Interview-polished")</f>
        <v/>
      </c>
    </row>
    <row r="13">
      <c r="A13" s="5" t="inlineStr">
        <is>
          <t>Hours Logged (min)</t>
        </is>
      </c>
      <c r="B13" s="6">
        <f>SUM(DailyLog!J:J)</f>
        <v/>
      </c>
      <c r="F13" s="2" t="inlineStr">
        <is>
          <t>Next 5 Modules</t>
        </is>
      </c>
    </row>
    <row r="14">
      <c r="A14" s="9" t="n"/>
      <c r="B14" s="9" t="n"/>
      <c r="C14" s="9" t="n"/>
      <c r="D14" s="9" t="n"/>
      <c r="F14" t="inlineStr">
        <is>
          <t>Code</t>
        </is>
      </c>
      <c r="G14" t="inlineStr">
        <is>
          <t>Title</t>
        </is>
      </c>
      <c r="H14" t="inlineStr">
        <is>
          <t>Group</t>
        </is>
      </c>
      <c r="I14" t="inlineStr">
        <is>
          <t>Week</t>
        </is>
      </c>
    </row>
    <row r="15">
      <c r="A15" s="2" t="inlineStr">
        <is>
          <t>Progress by Group</t>
        </is>
      </c>
      <c r="F15" s="6">
        <f>IFERROR(INDEX(_Helper!A:A,MATCH(1,_Helper!G:G,0)),"")</f>
        <v/>
      </c>
      <c r="G15" s="6">
        <f>IFERROR(INDEX(_Helper!B:B,MATCH(1,_Helper!G:G,0)),"")</f>
        <v/>
      </c>
      <c r="H15" s="6">
        <f>IFERROR(INDEX(_Helper!C:C,MATCH(1,_Helper!G:G,0)),"")</f>
        <v/>
      </c>
      <c r="I15" s="6">
        <f>IFERROR(INDEX(_Helper!D:D,MATCH(1,_Helper!G:G,0)),"")</f>
        <v/>
      </c>
    </row>
    <row r="16">
      <c r="A16" s="9" t="inlineStr">
        <is>
          <t>Group</t>
        </is>
      </c>
      <c r="B16" s="9" t="inlineStr">
        <is>
          <t>Total</t>
        </is>
      </c>
      <c r="C16" s="9" t="inlineStr">
        <is>
          <t>Done+IR</t>
        </is>
      </c>
      <c r="D16" s="9" t="inlineStr">
        <is>
          <t>Progress %</t>
        </is>
      </c>
      <c r="F16" s="6">
        <f>IFERROR(INDEX(_Helper!A:A,MATCH(2,_Helper!G:G,0)),"")</f>
        <v/>
      </c>
      <c r="G16" s="6">
        <f>IFERROR(INDEX(_Helper!B:B,MATCH(2,_Helper!G:G,0)),"")</f>
        <v/>
      </c>
      <c r="H16" s="6">
        <f>IFERROR(INDEX(_Helper!C:C,MATCH(2,_Helper!G:G,0)),"")</f>
        <v/>
      </c>
      <c r="I16" s="6">
        <f>IFERROR(INDEX(_Helper!D:D,MATCH(2,_Helper!G:G,0)),"")</f>
        <v/>
      </c>
    </row>
    <row r="17">
      <c r="A17" s="6" t="inlineStr">
        <is>
          <t>00 Foundations</t>
        </is>
      </c>
      <c r="B17" s="6">
        <f>COUNTIF(Modules!C:C,A17)</f>
        <v/>
      </c>
      <c r="C17" s="6">
        <f>COUNTIFS(Modules!C:C,A17,Modules!I:I,"Done")+COUNTIFS(Modules!C:C,A17,Modules!I:I,"Interview-ready")</f>
        <v/>
      </c>
      <c r="D17" s="8">
        <f>IF(B17=0,0,C17/B17)</f>
        <v/>
      </c>
      <c r="F17" s="6">
        <f>IFERROR(INDEX(_Helper!A:A,MATCH(3,_Helper!G:G,0)),"")</f>
        <v/>
      </c>
      <c r="G17" s="6">
        <f>IFERROR(INDEX(_Helper!B:B,MATCH(3,_Helper!G:G,0)),"")</f>
        <v/>
      </c>
      <c r="H17" s="6">
        <f>IFERROR(INDEX(_Helper!C:C,MATCH(3,_Helper!G:G,0)),"")</f>
        <v/>
      </c>
      <c r="I17" s="6">
        <f>IFERROR(INDEX(_Helper!D:D,MATCH(3,_Helper!G:G,0)),"")</f>
        <v/>
      </c>
    </row>
    <row r="18">
      <c r="A18" s="6" t="inlineStr">
        <is>
          <t>01 LLM Engineering</t>
        </is>
      </c>
      <c r="B18" s="6">
        <f>COUNTIF(Modules!C:C,A18)</f>
        <v/>
      </c>
      <c r="C18" s="6">
        <f>COUNTIFS(Modules!C:C,A18,Modules!I:I,"Done")+COUNTIFS(Modules!C:C,A18,Modules!I:I,"Interview-ready")</f>
        <v/>
      </c>
      <c r="D18" s="8">
        <f>IF(B18=0,0,C18/B18)</f>
        <v/>
      </c>
      <c r="F18" s="6">
        <f>IFERROR(INDEX(_Helper!A:A,MATCH(4,_Helper!G:G,0)),"")</f>
        <v/>
      </c>
      <c r="G18" s="6">
        <f>IFERROR(INDEX(_Helper!B:B,MATCH(4,_Helper!G:G,0)),"")</f>
        <v/>
      </c>
      <c r="H18" s="6">
        <f>IFERROR(INDEX(_Helper!C:C,MATCH(4,_Helper!G:G,0)),"")</f>
        <v/>
      </c>
      <c r="I18" s="6">
        <f>IFERROR(INDEX(_Helper!D:D,MATCH(4,_Helper!G:G,0)),"")</f>
        <v/>
      </c>
    </row>
    <row r="19">
      <c r="A19" s="6" t="inlineStr">
        <is>
          <t>02 Prompt Engineering</t>
        </is>
      </c>
      <c r="B19" s="6">
        <f>COUNTIF(Modules!C:C,A19)</f>
        <v/>
      </c>
      <c r="C19" s="6">
        <f>COUNTIFS(Modules!C:C,A19,Modules!I:I,"Done")+COUNTIFS(Modules!C:C,A19,Modules!I:I,"Interview-ready")</f>
        <v/>
      </c>
      <c r="D19" s="8">
        <f>IF(B19=0,0,C19/B19)</f>
        <v/>
      </c>
      <c r="F19" s="6">
        <f>IFERROR(INDEX(_Helper!A:A,MATCH(5,_Helper!G:G,0)),"")</f>
        <v/>
      </c>
      <c r="G19" s="6">
        <f>IFERROR(INDEX(_Helper!B:B,MATCH(5,_Helper!G:G,0)),"")</f>
        <v/>
      </c>
      <c r="H19" s="6">
        <f>IFERROR(INDEX(_Helper!C:C,MATCH(5,_Helper!G:G,0)),"")</f>
        <v/>
      </c>
      <c r="I19" s="6">
        <f>IFERROR(INDEX(_Helper!D:D,MATCH(5,_Helper!G:G,0)),"")</f>
        <v/>
      </c>
    </row>
    <row r="20">
      <c r="A20" s="6" t="inlineStr">
        <is>
          <t>03 Agentic Fundamentals</t>
        </is>
      </c>
      <c r="B20" s="6">
        <f>COUNTIF(Modules!C:C,A20)</f>
        <v/>
      </c>
      <c r="C20" s="6">
        <f>COUNTIFS(Modules!C:C,A20,Modules!I:I,"Done")+COUNTIFS(Modules!C:C,A20,Modules!I:I,"Interview-ready")</f>
        <v/>
      </c>
      <c r="D20" s="8">
        <f>IF(B20=0,0,C20/B20)</f>
        <v/>
      </c>
    </row>
    <row r="21">
      <c r="A21" s="6" t="inlineStr">
        <is>
          <t>04 RAG</t>
        </is>
      </c>
      <c r="B21" s="6">
        <f>COUNTIF(Modules!C:C,A21)</f>
        <v/>
      </c>
      <c r="C21" s="6">
        <f>COUNTIFS(Modules!C:C,A21,Modules!I:I,"Done")+COUNTIFS(Modules!C:C,A21,Modules!I:I,"Interview-ready")</f>
        <v/>
      </c>
      <c r="D21" s="8">
        <f>IF(B21=0,0,C21/B21)</f>
        <v/>
      </c>
      <c r="F21" s="2" t="inlineStr">
        <is>
          <t>Jump to sheet</t>
        </is>
      </c>
    </row>
    <row r="22">
      <c r="A22" s="6" t="inlineStr">
        <is>
          <t>05 Multi-Agent</t>
        </is>
      </c>
      <c r="B22" s="6">
        <f>COUNTIF(Modules!C:C,A22)</f>
        <v/>
      </c>
      <c r="C22" s="6">
        <f>COUNTIFS(Modules!C:C,A22,Modules!I:I,"Done")+COUNTIFS(Modules!C:C,A22,Modules!I:I,"Interview-ready")</f>
        <v/>
      </c>
      <c r="D22" s="8">
        <f>IF(B22=0,0,C22/B22)</f>
        <v/>
      </c>
      <c r="F22" s="10" t="inlineStr">
        <is>
          <t>Workflow</t>
        </is>
      </c>
    </row>
    <row r="23">
      <c r="A23" s="6" t="inlineStr">
        <is>
          <t>06 Voice &amp; Multimodal</t>
        </is>
      </c>
      <c r="B23" s="6">
        <f>COUNTIF(Modules!C:C,A23)</f>
        <v/>
      </c>
      <c r="C23" s="6">
        <f>COUNTIFS(Modules!C:C,A23,Modules!I:I,"Done")+COUNTIFS(Modules!C:C,A23,Modules!I:I,"Interview-ready")</f>
        <v/>
      </c>
      <c r="D23" s="8">
        <f>IF(B23=0,0,C23/B23)</f>
        <v/>
      </c>
      <c r="F23" s="10" t="inlineStr">
        <is>
          <t>Config</t>
        </is>
      </c>
    </row>
    <row r="24">
      <c r="A24" s="6" t="inlineStr">
        <is>
          <t>07 Protocols MCP/A2A</t>
        </is>
      </c>
      <c r="B24" s="6">
        <f>COUNTIF(Modules!C:C,A24)</f>
        <v/>
      </c>
      <c r="C24" s="6">
        <f>COUNTIFS(Modules!C:C,A24,Modules!I:I,"Done")+COUNTIFS(Modules!C:C,A24,Modules!I:I,"Interview-ready")</f>
        <v/>
      </c>
      <c r="D24" s="8">
        <f>IF(B24=0,0,C24/B24)</f>
        <v/>
      </c>
      <c r="F24" s="10" t="inlineStr">
        <is>
          <t>Modules</t>
        </is>
      </c>
    </row>
    <row r="25">
      <c r="A25" s="6" t="inlineStr">
        <is>
          <t>08 Eval &amp; LLMOps</t>
        </is>
      </c>
      <c r="B25" s="6">
        <f>COUNTIF(Modules!C:C,A25)</f>
        <v/>
      </c>
      <c r="C25" s="6">
        <f>COUNTIFS(Modules!C:C,A25,Modules!I:I,"Done")+COUNTIFS(Modules!C:C,A25,Modules!I:I,"Interview-ready")</f>
        <v/>
      </c>
      <c r="D25" s="8">
        <f>IF(B25=0,0,C25/B25)</f>
        <v/>
      </c>
      <c r="F25" s="10" t="inlineStr">
        <is>
          <t>Resources</t>
        </is>
      </c>
    </row>
    <row r="26">
      <c r="A26" s="6" t="inlineStr">
        <is>
          <t>09 Fine-Tuning</t>
        </is>
      </c>
      <c r="B26" s="6">
        <f>COUNTIF(Modules!C:C,A26)</f>
        <v/>
      </c>
      <c r="C26" s="6">
        <f>COUNTIFS(Modules!C:C,A26,Modules!I:I,"Done")+COUNTIFS(Modules!C:C,A26,Modules!I:I,"Interview-ready")</f>
        <v/>
      </c>
      <c r="D26" s="8">
        <f>IF(B26=0,0,C26/B26)</f>
        <v/>
      </c>
      <c r="F26" s="10" t="inlineStr">
        <is>
          <t>Weekly</t>
        </is>
      </c>
    </row>
    <row r="27">
      <c r="A27" s="6" t="inlineStr">
        <is>
          <t>10 Production Infra</t>
        </is>
      </c>
      <c r="B27" s="6">
        <f>COUNTIF(Modules!C:C,A27)</f>
        <v/>
      </c>
      <c r="C27" s="6">
        <f>COUNTIFS(Modules!C:C,A27,Modules!I:I,"Done")+COUNTIFS(Modules!C:C,A27,Modules!I:I,"Interview-ready")</f>
        <v/>
      </c>
      <c r="D27" s="8">
        <f>IF(B27=0,0,C27/B27)</f>
        <v/>
      </c>
      <c r="F27" s="10" t="inlineStr">
        <is>
          <t>DailyLog</t>
        </is>
      </c>
    </row>
    <row r="28">
      <c r="A28" s="6" t="inlineStr">
        <is>
          <t>11 Security &amp; Safety</t>
        </is>
      </c>
      <c r="B28" s="6">
        <f>COUNTIF(Modules!C:C,A28)</f>
        <v/>
      </c>
      <c r="C28" s="6">
        <f>COUNTIFS(Modules!C:C,A28,Modules!I:I,"Done")+COUNTIFS(Modules!C:C,A28,Modules!I:I,"Interview-ready")</f>
        <v/>
      </c>
      <c r="D28" s="8">
        <f>IF(B28=0,0,C28/B28)</f>
        <v/>
      </c>
      <c r="F28" s="10" t="inlineStr">
        <is>
          <t>Projects</t>
        </is>
      </c>
    </row>
    <row r="29">
      <c r="A29" s="6" t="inlineStr">
        <is>
          <t>12 Advanced Topics</t>
        </is>
      </c>
      <c r="B29" s="6">
        <f>COUNTIF(Modules!C:C,A29)</f>
        <v/>
      </c>
      <c r="C29" s="6">
        <f>COUNTIFS(Modules!C:C,A29,Modules!I:I,"Done")+COUNTIFS(Modules!C:C,A29,Modules!I:I,"Interview-ready")</f>
        <v/>
      </c>
      <c r="D29" s="8">
        <f>IF(B29=0,0,C29/B29)</f>
        <v/>
      </c>
      <c r="F29" s="10" t="inlineStr">
        <is>
          <t>Interviews</t>
        </is>
      </c>
    </row>
    <row r="30">
      <c r="F30" s="10" t="inlineStr">
        <is>
          <t>STAR</t>
        </is>
      </c>
    </row>
    <row r="31">
      <c r="A31" s="2" t="inlineStr">
        <is>
          <t>Projects by Tier</t>
        </is>
      </c>
      <c r="F31" s="10" t="inlineStr">
        <is>
          <t>Tip: On Modules sheet use the filter arrows on Group / Subgroup / Status / Week.</t>
        </is>
      </c>
    </row>
    <row r="32">
      <c r="A32" s="9" t="inlineStr">
        <is>
          <t>Tier</t>
        </is>
      </c>
      <c r="B32" s="9" t="inlineStr">
        <is>
          <t>Total</t>
        </is>
      </c>
      <c r="C32" s="9" t="inlineStr">
        <is>
          <t>Done+IR</t>
        </is>
      </c>
      <c r="D32" s="9" t="inlineStr">
        <is>
          <t>Progress %</t>
        </is>
      </c>
      <c r="F32" s="10" t="inlineStr">
        <is>
          <t>Tip: Filter Projects by Tier for a board-like pipeline.</t>
        </is>
      </c>
    </row>
    <row r="33">
      <c r="A33" s="6" t="inlineStr">
        <is>
          <t>Mini</t>
        </is>
      </c>
      <c r="B33" s="6">
        <f>COUNTIF(Projects!D:D,A33)</f>
        <v/>
      </c>
      <c r="C33" s="6">
        <f>COUNTIFS(Projects!D:D,A33,Projects!F:F,"Done")+COUNTIFS(Projects!D:D,A33,Projects!F:F,"Interview-ready")</f>
        <v/>
      </c>
      <c r="D33" s="8">
        <f>IF(B33=0,0,C33/B33)</f>
        <v/>
      </c>
    </row>
    <row r="34">
      <c r="A34" s="6" t="inlineStr">
        <is>
          <t>Intermediate</t>
        </is>
      </c>
      <c r="B34" s="6">
        <f>COUNTIF(Projects!D:D,A34)</f>
        <v/>
      </c>
      <c r="C34" s="6">
        <f>COUNTIFS(Projects!D:D,A34,Projects!F:F,"Done")+COUNTIFS(Projects!D:D,A34,Projects!F:F,"Interview-ready")</f>
        <v/>
      </c>
      <c r="D34" s="8">
        <f>IF(B34=0,0,C34/B34)</f>
        <v/>
      </c>
    </row>
    <row r="35">
      <c r="A35" s="6" t="inlineStr">
        <is>
          <t>Production</t>
        </is>
      </c>
      <c r="B35" s="6">
        <f>COUNTIF(Projects!D:D,A35)</f>
        <v/>
      </c>
      <c r="C35" s="6">
        <f>COUNTIFS(Projects!D:D,A35,Projects!F:F,"Done")+COUNTIFS(Projects!D:D,A35,Projects!F:F,"Interview-ready")</f>
        <v/>
      </c>
      <c r="D35" s="8">
        <f>IF(B35=0,0,C35/B35)</f>
        <v/>
      </c>
    </row>
    <row r="36">
      <c r="A36" s="6" t="inlineStr">
        <is>
          <t>Capstone</t>
        </is>
      </c>
      <c r="B36" s="6">
        <f>COUNTIF(Projects!D:D,A36)</f>
        <v/>
      </c>
      <c r="C36" s="6">
        <f>COUNTIFS(Projects!D:D,A36,Projects!F:F,"Done")+COUNTIFS(Projects!D:D,A36,Projects!F:F,"Interview-ready")</f>
        <v/>
      </c>
      <c r="D36" s="8">
        <f>IF(B36=0,0,C36/B36)</f>
        <v/>
      </c>
    </row>
    <row r="38">
      <c r="A38" s="2" t="inlineStr">
        <is>
          <t>Interview Pipeline</t>
        </is>
      </c>
    </row>
    <row r="39">
      <c r="A39" t="inlineStr">
        <is>
          <t>Planned</t>
        </is>
      </c>
      <c r="B39">
        <f>COUNTIF(Interviews!L:L,"Planned")</f>
        <v/>
      </c>
    </row>
    <row r="40">
      <c r="A40" t="inlineStr">
        <is>
          <t>Done</t>
        </is>
      </c>
      <c r="B40">
        <f>COUNTIF(Interviews!L:L,"Done")</f>
        <v/>
      </c>
    </row>
    <row r="41">
      <c r="A41" t="inlineStr">
        <is>
          <t>Needs retest</t>
        </is>
      </c>
      <c r="B41">
        <f>COUNTIF(Interviews!L:L,"Needs retest")</f>
        <v/>
      </c>
    </row>
    <row r="42">
      <c r="A42" t="inlineStr">
        <is>
          <t>Avg Score (Done)</t>
        </is>
      </c>
      <c r="B42">
        <f>IFERROR(AVERAGEIF(Interviews!L:L,"Done",Interviews!E:E),"")</f>
        <v/>
      </c>
    </row>
  </sheetData>
  <mergeCells count="1">
    <mergeCell ref="A1:D1"/>
  </mergeCells>
  <dataValidations count="1">
    <dataValidation sqref="B2:B3" showDropDown="0" showInputMessage="0" showErrorMessage="0" allowBlank="1" type="list">
      <formula1>"IC,EM,Hybrid,IC+EM"</formula1>
    </dataValidation>
  </dataValidations>
  <hyperlinks>
    <hyperlink xmlns:r="http://schemas.openxmlformats.org/officeDocument/2006/relationships" ref="F22" r:id="rId1"/>
    <hyperlink xmlns:r="http://schemas.openxmlformats.org/officeDocument/2006/relationships" ref="F23" r:id="rId2"/>
    <hyperlink xmlns:r="http://schemas.openxmlformats.org/officeDocument/2006/relationships" ref="F24" r:id="rId3"/>
    <hyperlink xmlns:r="http://schemas.openxmlformats.org/officeDocument/2006/relationships" ref="F25" r:id="rId4"/>
    <hyperlink xmlns:r="http://schemas.openxmlformats.org/officeDocument/2006/relationships" ref="F26" r:id="rId5"/>
    <hyperlink xmlns:r="http://schemas.openxmlformats.org/officeDocument/2006/relationships" ref="F27" r:id="rId6"/>
    <hyperlink xmlns:r="http://schemas.openxmlformats.org/officeDocument/2006/relationships" ref="F28" r:id="rId7"/>
    <hyperlink xmlns:r="http://schemas.openxmlformats.org/officeDocument/2006/relationships" ref="F29" r:id="rId8"/>
    <hyperlink xmlns:r="http://schemas.openxmlformats.org/officeDocument/2006/relationships" ref="F30" r:id="rId9"/>
    <hyperlink xmlns:r="http://schemas.openxmlformats.org/officeDocument/2006/relationships" ref="F31" r:id="rId10"/>
    <hyperlink xmlns:r="http://schemas.openxmlformats.org/officeDocument/2006/relationships" ref="F3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1" t="inlineStr">
        <is>
          <t>Config — Doc / Resource linking</t>
        </is>
      </c>
    </row>
    <row r="3">
      <c r="A3" s="9" t="inlineStr">
        <is>
          <t>Setting</t>
        </is>
      </c>
      <c r="B3" s="9" t="inlineStr">
        <is>
          <t>Value</t>
        </is>
      </c>
    </row>
    <row r="4">
      <c r="A4" t="inlineStr">
        <is>
          <t>Local Root</t>
        </is>
      </c>
      <c r="B4" s="4" t="inlineStr">
        <is>
          <t>/workspace/</t>
        </is>
      </c>
    </row>
    <row r="5">
      <c r="A5" t="inlineStr">
        <is>
          <t>GitHub Base</t>
        </is>
      </c>
      <c r="B5" s="4" t="inlineStr">
        <is>
          <t>https://github.com/rcrahul43/GenAI-Masterclass/blob/main/</t>
        </is>
      </c>
    </row>
    <row r="6">
      <c r="A6" t="inlineStr">
        <is>
          <t>Link Mode</t>
        </is>
      </c>
      <c r="B6" s="4" t="inlineStr">
        <is>
          <t>Local</t>
        </is>
      </c>
    </row>
    <row r="8">
      <c r="A8" s="2" t="inlineStr">
        <is>
          <t>How linking works</t>
        </is>
      </c>
    </row>
    <row r="9">
      <c r="A9" t="inlineStr">
        <is>
          <t>Local mode: Open Doc uses file:// + Local Root + File Path (works in Excel on this Mac).</t>
        </is>
      </c>
    </row>
    <row r="10">
      <c r="A10" t="inlineStr">
        <is>
          <t>GitHub mode: push this folder to a repo, set GitHub Base, set Link Mode=GitHub (works in Sheets too).</t>
        </is>
      </c>
    </row>
    <row r="11">
      <c r="A11" t="inlineStr">
        <is>
          <t>Resources!URL always opens the external docs/papers (no doc required).</t>
        </is>
      </c>
    </row>
    <row r="12">
      <c r="A12" t="inlineStr">
        <is>
          <t>Re-sync resources from handbook: run python Tracker/build_tracker_xlsx.py</t>
        </is>
      </c>
    </row>
    <row r="14">
      <c r="A14" s="2" t="inlineStr">
        <is>
          <t>Google Sheets tip</t>
        </is>
      </c>
    </row>
    <row r="15">
      <c r="A15" t="inlineStr">
        <is>
          <t>Upload xlsx to Drive → Open with Google Sheets. Use Link Mode=GitHub for clickable docs.</t>
        </is>
      </c>
    </row>
    <row r="16">
      <c r="A16" t="inlineStr">
        <is>
          <t>Keep progress columns (Status, minutes, Done?) only in the Sheet — don’t duplicate in markdown.</t>
        </is>
      </c>
    </row>
  </sheetData>
  <dataValidations count="1">
    <dataValidation sqref="B6" showDropDown="0" showInputMessage="0" showErrorMessage="0" allowBlank="0" type="list">
      <formula1>"Local,GitHub"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Sheet ↔ Doc ↔ Resource workflow</t>
        </is>
      </c>
    </row>
    <row r="2">
      <c r="A2" t="inlineStr"/>
    </row>
    <row r="3">
      <c r="A3" s="2" t="inlineStr">
        <is>
          <t>Goal</t>
        </is>
      </c>
    </row>
    <row r="4">
      <c r="A4" t="inlineStr">
        <is>
          <t>Sheet = progress dashboard. Doc = deep reading when needed. Resource URL = quick official link.</t>
        </is>
      </c>
    </row>
    <row r="5">
      <c r="A5" t="inlineStr"/>
    </row>
    <row r="6">
      <c r="A6" s="2" t="inlineStr">
        <is>
          <t>Path A — study with depth</t>
        </is>
      </c>
    </row>
    <row r="7">
      <c r="A7" t="inlineStr">
        <is>
          <t>Dashboard / Modules → set Status=In progress → click Open Doc → read chapter → open Further Reading from doc OR from Resources sheet → mark Status=Done</t>
        </is>
      </c>
    </row>
    <row r="8">
      <c r="A8" t="inlineStr"/>
    </row>
    <row r="9">
      <c r="A9" s="2" t="inlineStr">
        <is>
          <t>Path B — no doc needed</t>
        </is>
      </c>
    </row>
    <row r="10">
      <c r="A10" t="inlineStr">
        <is>
          <t>Modules → note Item ID → Resources filter Item ID → click URL → mark Resources Done?=Yes → optionally mark module Done if that was enough</t>
        </is>
      </c>
    </row>
    <row r="11">
      <c r="A11" t="inlineStr"/>
    </row>
    <row r="12">
      <c r="A12" s="2" t="inlineStr">
        <is>
          <t>What syncs automatically</t>
        </is>
      </c>
    </row>
    <row r="13">
      <c r="A13" t="inlineStr">
        <is>
          <t>Handbook Further Reading → Resources sheet (when you re-run build_tracker_xlsx.py)</t>
        </is>
      </c>
    </row>
    <row r="14">
      <c r="A14" t="inlineStr">
        <is>
          <t>Modules Resource Count ← formula into Resources</t>
        </is>
      </c>
    </row>
    <row r="15">
      <c r="A15" t="inlineStr">
        <is>
          <t>DailyLog Title/Week ← VLOOKUP Modules</t>
        </is>
      </c>
    </row>
    <row r="16">
      <c r="A16" t="inlineStr">
        <is>
          <t>Weekly Progress % ← formulas from Modules Status</t>
        </is>
      </c>
    </row>
    <row r="17">
      <c r="A17" t="inlineStr"/>
    </row>
    <row r="18">
      <c r="A18" s="2" t="inlineStr">
        <is>
          <t>What does NOT auto-sync (by design)</t>
        </is>
      </c>
    </row>
    <row r="19">
      <c r="A19" t="inlineStr">
        <is>
          <t>Your Status / minutes / mock scores stay in the Sheet only (source of truth for progress)</t>
        </is>
      </c>
    </row>
    <row r="20">
      <c r="A20" t="inlineStr">
        <is>
          <t>Markdown checkboxes are optional backup, not required</t>
        </is>
      </c>
    </row>
    <row r="21">
      <c r="A21" t="inlineStr"/>
    </row>
    <row r="22">
      <c r="A22" s="2" t="inlineStr">
        <is>
          <t>Keep in sync after editing docs</t>
        </is>
      </c>
    </row>
    <row r="23">
      <c r="A23" t="inlineStr">
        <is>
          <t>1. Edit module Further Reading in markdown</t>
        </is>
      </c>
    </row>
    <row r="24">
      <c r="A24" t="inlineStr">
        <is>
          <t>2. cd GenAI-Masterclass &amp;&amp; python3 Tracker/build_tracker_xlsx.py</t>
        </is>
      </c>
    </row>
    <row r="25">
      <c r="A25" t="inlineStr">
        <is>
          <t>3. Re-open xlsx (or re-upload to Sheets). Progress columns you typed are rebuilt — export Status first if needed</t>
        </is>
      </c>
    </row>
    <row r="26">
      <c r="A26" t="inlineStr"/>
    </row>
    <row r="27">
      <c r="A27" s="2" t="inlineStr">
        <is>
          <t>Safer sync habit</t>
        </is>
      </c>
    </row>
    <row r="28">
      <c r="A28" t="inlineStr">
        <is>
          <t>Treat Sheet Status as sacred: before rebuild, copy Modules!A:I to a backup tab, rebuild, then paste Status back by Module Code.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8" customWidth="1" min="4" max="4"/>
    <col width="10" customWidth="1" min="5" max="5"/>
    <col width="22" customWidth="1" min="6" max="6"/>
  </cols>
  <sheetData>
    <row r="1">
      <c r="A1" s="9" t="inlineStr">
        <is>
          <t>Status</t>
        </is>
      </c>
      <c r="B1" s="9" t="inlineStr">
        <is>
          <t>Track</t>
        </is>
      </c>
      <c r="C1" s="9" t="inlineStr">
        <is>
          <t>Tier</t>
        </is>
      </c>
      <c r="D1" s="9" t="inlineStr">
        <is>
          <t>MockType</t>
        </is>
      </c>
      <c r="E1" s="9" t="inlineStr">
        <is>
          <t>YesNo</t>
        </is>
      </c>
      <c r="F1" s="9" t="inlineStr">
        <is>
          <t>STAR Pattern</t>
        </is>
      </c>
    </row>
    <row r="2">
      <c r="A2" t="inlineStr">
        <is>
          <t>Not started</t>
        </is>
      </c>
      <c r="B2" t="inlineStr">
        <is>
          <t>IC</t>
        </is>
      </c>
      <c r="C2" t="inlineStr">
        <is>
          <t>Mini</t>
        </is>
      </c>
      <c r="D2" t="inlineStr">
        <is>
          <t>Senior AI</t>
        </is>
      </c>
      <c r="E2" t="inlineStr">
        <is>
          <t>Yes</t>
        </is>
      </c>
      <c r="F2" t="inlineStr">
        <is>
          <t>Project Experience</t>
        </is>
      </c>
    </row>
    <row r="3">
      <c r="A3" t="inlineStr">
        <is>
          <t>In progress</t>
        </is>
      </c>
      <c r="B3" t="inlineStr">
        <is>
          <t>EM</t>
        </is>
      </c>
      <c r="C3" t="inlineStr">
        <is>
          <t>Intermediate</t>
        </is>
      </c>
      <c r="D3" t="inlineStr">
        <is>
          <t>Staff AI</t>
        </is>
      </c>
      <c r="E3" t="inlineStr">
        <is>
          <t>No</t>
        </is>
      </c>
      <c r="F3" t="inlineStr">
        <is>
          <t>Conflict Resolution</t>
        </is>
      </c>
    </row>
    <row r="4">
      <c r="A4" t="inlineStr">
        <is>
          <t>Done</t>
        </is>
      </c>
      <c r="B4" t="inlineStr">
        <is>
          <t>Hybrid</t>
        </is>
      </c>
      <c r="C4" t="inlineStr">
        <is>
          <t>Production</t>
        </is>
      </c>
      <c r="D4" t="inlineStr">
        <is>
          <t>Principal Design</t>
        </is>
      </c>
      <c r="F4" t="inlineStr">
        <is>
          <t>Execution</t>
        </is>
      </c>
    </row>
    <row r="5">
      <c r="A5" t="inlineStr">
        <is>
          <t>Interview-ready</t>
        </is>
      </c>
      <c r="B5" t="inlineStr">
        <is>
          <t>IC+EM</t>
        </is>
      </c>
      <c r="C5" t="inlineStr">
        <is>
          <t>Capstone</t>
        </is>
      </c>
      <c r="D5" t="inlineStr">
        <is>
          <t>EM Behavioral</t>
        </is>
      </c>
      <c r="F5" t="inlineStr">
        <is>
          <t>Hiring</t>
        </is>
      </c>
    </row>
    <row r="6">
      <c r="D6" t="inlineStr">
        <is>
          <t>Staff+Security</t>
        </is>
      </c>
      <c r="F6" t="inlineStr">
        <is>
          <t>Technical Judgment</t>
        </is>
      </c>
    </row>
    <row r="7">
      <c r="D7" t="inlineStr">
        <is>
          <t>EM Execution</t>
        </is>
      </c>
      <c r="F7" t="inlineStr">
        <is>
          <t>Cross-Functional</t>
        </is>
      </c>
    </row>
    <row r="8">
      <c r="D8" t="inlineStr">
        <is>
          <t>Full Panel</t>
        </is>
      </c>
      <c r="F8" t="inlineStr">
        <is>
          <t>Leadership Profile</t>
        </is>
      </c>
    </row>
    <row r="9">
      <c r="D9" t="inlineStr">
        <is>
          <t>Offer Rehearsal</t>
        </is>
      </c>
      <c r="F9" t="inlineStr">
        <is>
          <t>Personal Growth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5" customWidth="1" min="2" max="2"/>
    <col width="22" customWidth="1" min="3" max="3"/>
    <col width="18" customWidth="1" min="4" max="4"/>
    <col width="8" customWidth="1" min="5" max="5"/>
    <col width="8" customWidth="1" min="6" max="6"/>
    <col width="10" customWidth="1" min="7" max="7"/>
    <col width="10" customWidth="1" min="8" max="8"/>
    <col width="16" customWidth="1" min="9" max="9"/>
    <col width="12" customWidth="1" min="10" max="10"/>
    <col width="10" customWidth="1" min="11" max="11"/>
    <col width="12" customWidth="1" min="12" max="12"/>
    <col width="12" customWidth="1" min="13" max="13"/>
    <col width="28" customWidth="1" min="14" max="14"/>
    <col width="45" customWidth="1" min="15" max="15"/>
    <col width="12" customWidth="1" min="16" max="16"/>
    <col width="24" customWidth="1" min="17" max="17"/>
    <col width="14" customWidth="1" min="18" max="18"/>
  </cols>
  <sheetData>
    <row r="1">
      <c r="A1" s="9" t="inlineStr">
        <is>
          <t>Module Code</t>
        </is>
      </c>
      <c r="B1" s="9" t="inlineStr">
        <is>
          <t>Title</t>
        </is>
      </c>
      <c r="C1" s="9" t="inlineStr">
        <is>
          <t>Group</t>
        </is>
      </c>
      <c r="D1" s="9" t="inlineStr">
        <is>
          <t>Subgroup</t>
        </is>
      </c>
      <c r="E1" s="9" t="inlineStr">
        <is>
          <t>Section Order</t>
        </is>
      </c>
      <c r="F1" s="9" t="inlineStr">
        <is>
          <t>Week</t>
        </is>
      </c>
      <c r="G1" s="9" t="inlineStr">
        <is>
          <t>Track</t>
        </is>
      </c>
      <c r="H1" s="9" t="inlineStr">
        <is>
          <t>Est Hours</t>
        </is>
      </c>
      <c r="I1" s="9" t="inlineStr">
        <is>
          <t>Status</t>
        </is>
      </c>
      <c r="J1" s="9" t="inlineStr">
        <is>
          <t>Minutes Spent</t>
        </is>
      </c>
      <c r="K1" s="9" t="inlineStr">
        <is>
          <t>Lab Done</t>
        </is>
      </c>
      <c r="L1" s="9" t="inlineStr">
        <is>
          <t>Judgment Memo</t>
        </is>
      </c>
      <c r="M1" s="9" t="inlineStr">
        <is>
          <t>Interview Drill</t>
        </is>
      </c>
      <c r="N1" s="9" t="inlineStr">
        <is>
          <t>Next Action</t>
        </is>
      </c>
      <c r="O1" s="9" t="inlineStr">
        <is>
          <t>File Path</t>
        </is>
      </c>
      <c r="P1" s="9" t="inlineStr">
        <is>
          <t>Open Doc</t>
        </is>
      </c>
      <c r="Q1" s="9" t="inlineStr">
        <is>
          <t>Notes</t>
        </is>
      </c>
      <c r="R1" s="9" t="inlineStr">
        <is>
          <t>Resource Count</t>
        </is>
      </c>
    </row>
    <row r="2">
      <c r="A2" s="11" t="inlineStr">
        <is>
          <t>00-01</t>
        </is>
      </c>
      <c r="B2" s="11" t="inlineStr">
        <is>
          <t>00-01 — GenAI From Scratch: Core Ideas</t>
        </is>
      </c>
      <c r="C2" s="11" t="inlineStr">
        <is>
          <t>00 Foundations</t>
        </is>
      </c>
      <c r="D2" s="11" t="inlineStr">
        <is>
          <t>Foundations</t>
        </is>
      </c>
      <c r="E2" s="11" t="n">
        <v>0</v>
      </c>
      <c r="F2" s="11" t="n">
        <v>0</v>
      </c>
      <c r="G2" s="11" t="inlineStr">
        <is>
          <t>IC+EM</t>
        </is>
      </c>
      <c r="H2" s="11" t="n">
        <v>4</v>
      </c>
      <c r="I2" s="11" t="inlineStr">
        <is>
          <t>Not started</t>
        </is>
      </c>
      <c r="J2" s="11" t="inlineStr"/>
      <c r="K2" s="11" t="inlineStr">
        <is>
          <t>No</t>
        </is>
      </c>
      <c r="L2" s="11" t="inlineStr">
        <is>
          <t>No</t>
        </is>
      </c>
      <c r="M2" s="11" t="inlineStr">
        <is>
          <t>No</t>
        </is>
      </c>
      <c r="N2" s="11" t="inlineStr"/>
      <c r="O2" s="11" t="inlineStr">
        <is>
          <t>Modules/00-Foundations/00-01-GenAI-From-Scratch.md</t>
        </is>
      </c>
      <c r="P2" s="12">
        <f>IF(O2="","",IF(Config!$B$6="GitHub",HYPERLINK(Config!$B$5&amp;O2,"Open doc"),HYPERLINK("file://"&amp;Config!$B$4&amp;O2,"Open doc")))</f>
        <v/>
      </c>
      <c r="Q2" s="11" t="inlineStr"/>
      <c r="R2" s="11">
        <f>COUNTIFS(Resources!A:A,"Module",Resources!B:B,A2)</f>
        <v/>
      </c>
    </row>
    <row r="3">
      <c r="A3" s="11" t="inlineStr">
        <is>
          <t>00-02</t>
        </is>
      </c>
      <c r="B3" s="11" t="inlineStr">
        <is>
          <t>00-02 — Python for AI Engineering</t>
        </is>
      </c>
      <c r="C3" s="11" t="inlineStr">
        <is>
          <t>00 Foundations</t>
        </is>
      </c>
      <c r="D3" s="11" t="inlineStr">
        <is>
          <t>Foundations</t>
        </is>
      </c>
      <c r="E3" s="11" t="n">
        <v>0</v>
      </c>
      <c r="F3" s="11" t="n">
        <v>0</v>
      </c>
      <c r="G3" s="11" t="inlineStr">
        <is>
          <t>IC+EM</t>
        </is>
      </c>
      <c r="H3" s="11" t="n">
        <v>8</v>
      </c>
      <c r="I3" s="11" t="inlineStr">
        <is>
          <t>Not started</t>
        </is>
      </c>
      <c r="J3" s="11" t="inlineStr"/>
      <c r="K3" s="11" t="inlineStr">
        <is>
          <t>No</t>
        </is>
      </c>
      <c r="L3" s="11" t="inlineStr">
        <is>
          <t>No</t>
        </is>
      </c>
      <c r="M3" s="11" t="inlineStr">
        <is>
          <t>No</t>
        </is>
      </c>
      <c r="N3" s="11" t="inlineStr"/>
      <c r="O3" s="11" t="inlineStr">
        <is>
          <t>Modules/00-Foundations/00-02-Python-for-AI-Engineering.md</t>
        </is>
      </c>
      <c r="P3" s="12">
        <f>IF(O3="","",IF(Config!$B$6="GitHub",HYPERLINK(Config!$B$5&amp;O3,"Open doc"),HYPERLINK("file://"&amp;Config!$B$4&amp;O3,"Open doc")))</f>
        <v/>
      </c>
      <c r="Q3" s="11" t="inlineStr"/>
      <c r="R3" s="11">
        <f>COUNTIFS(Resources!A:A,"Module",Resources!B:B,A3)</f>
        <v/>
      </c>
    </row>
    <row r="4">
      <c r="A4" s="11" t="inlineStr">
        <is>
          <t>00-03</t>
        </is>
      </c>
      <c r="B4" s="11" t="inlineStr">
        <is>
          <t>00-03 — APIs for AI Engineering</t>
        </is>
      </c>
      <c r="C4" s="11" t="inlineStr">
        <is>
          <t>00 Foundations</t>
        </is>
      </c>
      <c r="D4" s="11" t="inlineStr">
        <is>
          <t>Foundations</t>
        </is>
      </c>
      <c r="E4" s="11" t="n">
        <v>0</v>
      </c>
      <c r="F4" s="11" t="n">
        <v>0</v>
      </c>
      <c r="G4" s="11" t="inlineStr">
        <is>
          <t>IC+EM</t>
        </is>
      </c>
      <c r="H4" s="11" t="n">
        <v>8</v>
      </c>
      <c r="I4" s="11" t="inlineStr">
        <is>
          <t>Not started</t>
        </is>
      </c>
      <c r="J4" s="11" t="inlineStr"/>
      <c r="K4" s="11" t="inlineStr">
        <is>
          <t>No</t>
        </is>
      </c>
      <c r="L4" s="11" t="inlineStr">
        <is>
          <t>No</t>
        </is>
      </c>
      <c r="M4" s="11" t="inlineStr">
        <is>
          <t>No</t>
        </is>
      </c>
      <c r="N4" s="11" t="inlineStr"/>
      <c r="O4" s="11" t="inlineStr">
        <is>
          <t>Modules/00-Foundations/00-03-APIs-for-AI-Engineering.md</t>
        </is>
      </c>
      <c r="P4" s="12">
        <f>IF(O4="","",IF(Config!$B$6="GitHub",HYPERLINK(Config!$B$5&amp;O4,"Open doc"),HYPERLINK("file://"&amp;Config!$B$4&amp;O4,"Open doc")))</f>
        <v/>
      </c>
      <c r="Q4" s="11" t="inlineStr"/>
      <c r="R4" s="11">
        <f>COUNTIFS(Resources!A:A,"Module",Resources!B:B,A4)</f>
        <v/>
      </c>
    </row>
    <row r="5">
      <c r="A5" s="11" t="inlineStr">
        <is>
          <t>00-04</t>
        </is>
      </c>
      <c r="B5" s="11" t="inlineStr">
        <is>
          <t>00-04 — From Rules to Agents: The Evolution of Intelligent Systems</t>
        </is>
      </c>
      <c r="C5" s="11" t="inlineStr">
        <is>
          <t>00 Foundations</t>
        </is>
      </c>
      <c r="D5" s="11" t="inlineStr">
        <is>
          <t>Foundations</t>
        </is>
      </c>
      <c r="E5" s="11" t="n">
        <v>0</v>
      </c>
      <c r="F5" s="11" t="n">
        <v>1</v>
      </c>
      <c r="G5" s="11" t="inlineStr">
        <is>
          <t>IC+EM</t>
        </is>
      </c>
      <c r="H5" s="11" t="n">
        <v>8</v>
      </c>
      <c r="I5" s="11" t="inlineStr">
        <is>
          <t>Not started</t>
        </is>
      </c>
      <c r="J5" s="11" t="inlineStr"/>
      <c r="K5" s="11" t="inlineStr">
        <is>
          <t>No</t>
        </is>
      </c>
      <c r="L5" s="11" t="inlineStr">
        <is>
          <t>No</t>
        </is>
      </c>
      <c r="M5" s="11" t="inlineStr">
        <is>
          <t>No</t>
        </is>
      </c>
      <c r="N5" s="11" t="inlineStr"/>
      <c r="O5" s="11" t="inlineStr">
        <is>
          <t>Modules/00-Foundations/00-04-From-Rules-to-Agents.md</t>
        </is>
      </c>
      <c r="P5" s="12">
        <f>IF(O5="","",IF(Config!$B$6="GitHub",HYPERLINK(Config!$B$5&amp;O5,"Open doc"),HYPERLINK("file://"&amp;Config!$B$4&amp;O5,"Open doc")))</f>
        <v/>
      </c>
      <c r="Q5" s="11" t="inlineStr"/>
      <c r="R5" s="11">
        <f>COUNTIFS(Resources!A:A,"Module",Resources!B:B,A5)</f>
        <v/>
      </c>
    </row>
    <row r="6">
      <c r="A6" s="11" t="inlineStr">
        <is>
          <t>00-05</t>
        </is>
      </c>
      <c r="B6" s="11" t="inlineStr">
        <is>
          <t>00-05 — Mathematics for AI Engineering</t>
        </is>
      </c>
      <c r="C6" s="11" t="inlineStr">
        <is>
          <t>00 Foundations</t>
        </is>
      </c>
      <c r="D6" s="11" t="inlineStr">
        <is>
          <t>Foundations</t>
        </is>
      </c>
      <c r="E6" s="11" t="n">
        <v>0</v>
      </c>
      <c r="F6" s="11" t="n">
        <v>1</v>
      </c>
      <c r="G6" s="11" t="inlineStr">
        <is>
          <t>IC+EM</t>
        </is>
      </c>
      <c r="H6" s="11" t="n">
        <v>7</v>
      </c>
      <c r="I6" s="11" t="inlineStr">
        <is>
          <t>Not started</t>
        </is>
      </c>
      <c r="J6" s="11" t="inlineStr"/>
      <c r="K6" s="11" t="inlineStr">
        <is>
          <t>No</t>
        </is>
      </c>
      <c r="L6" s="11" t="inlineStr">
        <is>
          <t>No</t>
        </is>
      </c>
      <c r="M6" s="11" t="inlineStr">
        <is>
          <t>No</t>
        </is>
      </c>
      <c r="N6" s="11" t="inlineStr"/>
      <c r="O6" s="11" t="inlineStr">
        <is>
          <t>Modules/00-Foundations/00-05-Mathematics-for-AI-Engineering.md</t>
        </is>
      </c>
      <c r="P6" s="12">
        <f>IF(O6="","",IF(Config!$B$6="GitHub",HYPERLINK(Config!$B$5&amp;O6,"Open doc"),HYPERLINK("file://"&amp;Config!$B$4&amp;O6,"Open doc")))</f>
        <v/>
      </c>
      <c r="Q6" s="11" t="inlineStr"/>
      <c r="R6" s="11">
        <f>COUNTIFS(Resources!A:A,"Module",Resources!B:B,A6)</f>
        <v/>
      </c>
    </row>
    <row r="7">
      <c r="A7" s="11" t="inlineStr">
        <is>
          <t>00-06</t>
        </is>
      </c>
      <c r="B7" s="11" t="inlineStr">
        <is>
          <t>00-06 — BankCo Warm-Up: Decision-Support Retention Assistant</t>
        </is>
      </c>
      <c r="C7" s="11" t="inlineStr">
        <is>
          <t>00 Foundations</t>
        </is>
      </c>
      <c r="D7" s="11" t="inlineStr">
        <is>
          <t>Foundations</t>
        </is>
      </c>
      <c r="E7" s="11" t="n">
        <v>0</v>
      </c>
      <c r="F7" s="11" t="n">
        <v>1</v>
      </c>
      <c r="G7" s="11" t="inlineStr">
        <is>
          <t>IC+EM</t>
        </is>
      </c>
      <c r="H7" s="11" t="n">
        <v>6</v>
      </c>
      <c r="I7" s="11" t="inlineStr">
        <is>
          <t>Not started</t>
        </is>
      </c>
      <c r="J7" s="11" t="inlineStr"/>
      <c r="K7" s="11" t="inlineStr">
        <is>
          <t>No</t>
        </is>
      </c>
      <c r="L7" s="11" t="inlineStr">
        <is>
          <t>No</t>
        </is>
      </c>
      <c r="M7" s="11" t="inlineStr">
        <is>
          <t>No</t>
        </is>
      </c>
      <c r="N7" s="11" t="inlineStr"/>
      <c r="O7" s="11" t="inlineStr">
        <is>
          <t>Modules/00-Foundations/00-06-BankCo-Decision-Support-Warmup.md</t>
        </is>
      </c>
      <c r="P7" s="12">
        <f>IF(O7="","",IF(Config!$B$6="GitHub",HYPERLINK(Config!$B$5&amp;O7,"Open doc"),HYPERLINK("file://"&amp;Config!$B$4&amp;O7,"Open doc")))</f>
        <v/>
      </c>
      <c r="Q7" s="11" t="inlineStr"/>
      <c r="R7" s="11">
        <f>COUNTIFS(Resources!A:A,"Module",Resources!B:B,A7)</f>
        <v/>
      </c>
    </row>
    <row r="8">
      <c r="A8" s="11" t="inlineStr">
        <is>
          <t>01-01</t>
        </is>
      </c>
      <c r="B8" s="11" t="inlineStr">
        <is>
          <t>01-01 — Transformer Architecture for AI Engineers</t>
        </is>
      </c>
      <c r="C8" s="11" t="inlineStr">
        <is>
          <t>01 LLM Engineering</t>
        </is>
      </c>
      <c r="D8" s="11" t="inlineStr">
        <is>
          <t>LLM Engineering</t>
        </is>
      </c>
      <c r="E8" s="11" t="n">
        <v>1</v>
      </c>
      <c r="F8" s="11" t="n">
        <v>2</v>
      </c>
      <c r="G8" s="11" t="inlineStr">
        <is>
          <t>IC</t>
        </is>
      </c>
      <c r="H8" s="11" t="n">
        <v>6</v>
      </c>
      <c r="I8" s="11" t="inlineStr">
        <is>
          <t>Not started</t>
        </is>
      </c>
      <c r="J8" s="11" t="inlineStr"/>
      <c r="K8" s="11" t="inlineStr">
        <is>
          <t>No</t>
        </is>
      </c>
      <c r="L8" s="11" t="inlineStr">
        <is>
          <t>No</t>
        </is>
      </c>
      <c r="M8" s="11" t="inlineStr">
        <is>
          <t>No</t>
        </is>
      </c>
      <c r="N8" s="11" t="inlineStr"/>
      <c r="O8" s="11" t="inlineStr">
        <is>
          <t>Modules/01-LLM-Engineering/01-01-Transformer-Architecture.md</t>
        </is>
      </c>
      <c r="P8" s="12">
        <f>IF(O8="","",IF(Config!$B$6="GitHub",HYPERLINK(Config!$B$5&amp;O8,"Open doc"),HYPERLINK("file://"&amp;Config!$B$4&amp;O8,"Open doc")))</f>
        <v/>
      </c>
      <c r="Q8" s="11" t="inlineStr"/>
      <c r="R8" s="11">
        <f>COUNTIFS(Resources!A:A,"Module",Resources!B:B,A8)</f>
        <v/>
      </c>
    </row>
    <row r="9">
      <c r="A9" s="11" t="inlineStr">
        <is>
          <t>01-02</t>
        </is>
      </c>
      <c r="B9" s="11" t="inlineStr">
        <is>
          <t>01-02 — Tokenization, Context Windows &amp; Attention Economics</t>
        </is>
      </c>
      <c r="C9" s="11" t="inlineStr">
        <is>
          <t>01 LLM Engineering</t>
        </is>
      </c>
      <c r="D9" s="11" t="inlineStr">
        <is>
          <t>LLM Engineering</t>
        </is>
      </c>
      <c r="E9" s="11" t="n">
        <v>1</v>
      </c>
      <c r="F9" s="11" t="n">
        <v>2</v>
      </c>
      <c r="G9" s="11" t="inlineStr">
        <is>
          <t>IC</t>
        </is>
      </c>
      <c r="H9" s="11" t="n">
        <v>6</v>
      </c>
      <c r="I9" s="11" t="inlineStr">
        <is>
          <t>Not started</t>
        </is>
      </c>
      <c r="J9" s="11" t="inlineStr"/>
      <c r="K9" s="11" t="inlineStr">
        <is>
          <t>No</t>
        </is>
      </c>
      <c r="L9" s="11" t="inlineStr">
        <is>
          <t>No</t>
        </is>
      </c>
      <c r="M9" s="11" t="inlineStr">
        <is>
          <t>No</t>
        </is>
      </c>
      <c r="N9" s="11" t="inlineStr"/>
      <c r="O9" s="11" t="inlineStr">
        <is>
          <t>Modules/01-LLM-Engineering/01-02-Tokenization-Context-Windows.md</t>
        </is>
      </c>
      <c r="P9" s="12">
        <f>IF(O9="","",IF(Config!$B$6="GitHub",HYPERLINK(Config!$B$5&amp;O9,"Open doc"),HYPERLINK("file://"&amp;Config!$B$4&amp;O9,"Open doc")))</f>
        <v/>
      </c>
      <c r="Q9" s="11" t="inlineStr"/>
      <c r="R9" s="11">
        <f>COUNTIFS(Resources!A:A,"Module",Resources!B:B,A9)</f>
        <v/>
      </c>
    </row>
    <row r="10">
      <c r="A10" s="11" t="inlineStr">
        <is>
          <t>01-03</t>
        </is>
      </c>
      <c r="B10" s="11" t="inlineStr">
        <is>
          <t>01-03 — Provider SDKs: OpenAI, Claude, Gemini &amp; DeepSeek</t>
        </is>
      </c>
      <c r="C10" s="11" t="inlineStr">
        <is>
          <t>01 LLM Engineering</t>
        </is>
      </c>
      <c r="D10" s="11" t="inlineStr">
        <is>
          <t>LLM Engineering</t>
        </is>
      </c>
      <c r="E10" s="11" t="n">
        <v>1</v>
      </c>
      <c r="F10" s="11" t="n">
        <v>3</v>
      </c>
      <c r="G10" s="11" t="inlineStr">
        <is>
          <t>IC</t>
        </is>
      </c>
      <c r="H10" s="11" t="n">
        <v>9</v>
      </c>
      <c r="I10" s="11" t="inlineStr">
        <is>
          <t>Not started</t>
        </is>
      </c>
      <c r="J10" s="11" t="inlineStr"/>
      <c r="K10" s="11" t="inlineStr">
        <is>
          <t>No</t>
        </is>
      </c>
      <c r="L10" s="11" t="inlineStr">
        <is>
          <t>No</t>
        </is>
      </c>
      <c r="M10" s="11" t="inlineStr">
        <is>
          <t>No</t>
        </is>
      </c>
      <c r="N10" s="11" t="inlineStr"/>
      <c r="O10" s="11" t="inlineStr">
        <is>
          <t>Modules/01-LLM-Engineering/01-03-Provider-SDKs-OpenAI-Claude-Gemini.md</t>
        </is>
      </c>
      <c r="P10" s="12">
        <f>IF(O10="","",IF(Config!$B$6="GitHub",HYPERLINK(Config!$B$5&amp;O10,"Open doc"),HYPERLINK("file://"&amp;Config!$B$4&amp;O10,"Open doc")))</f>
        <v/>
      </c>
      <c r="Q10" s="11" t="inlineStr"/>
      <c r="R10" s="11">
        <f>COUNTIFS(Resources!A:A,"Module",Resources!B:B,A10)</f>
        <v/>
      </c>
    </row>
    <row r="11">
      <c r="A11" s="11" t="inlineStr">
        <is>
          <t>01-04</t>
        </is>
      </c>
      <c r="B11" s="11" t="inlineStr">
        <is>
          <t>01-04 — Model Routing with LiteLLM</t>
        </is>
      </c>
      <c r="C11" s="11" t="inlineStr">
        <is>
          <t>01 LLM Engineering</t>
        </is>
      </c>
      <c r="D11" s="11" t="inlineStr">
        <is>
          <t>LLM Engineering</t>
        </is>
      </c>
      <c r="E11" s="11" t="n">
        <v>1</v>
      </c>
      <c r="F11" s="11" t="n">
        <v>3</v>
      </c>
      <c r="G11" s="11" t="inlineStr">
        <is>
          <t>IC</t>
        </is>
      </c>
      <c r="H11" s="11" t="n">
        <v>8</v>
      </c>
      <c r="I11" s="11" t="inlineStr">
        <is>
          <t>Not started</t>
        </is>
      </c>
      <c r="J11" s="11" t="inlineStr"/>
      <c r="K11" s="11" t="inlineStr">
        <is>
          <t>No</t>
        </is>
      </c>
      <c r="L11" s="11" t="inlineStr">
        <is>
          <t>No</t>
        </is>
      </c>
      <c r="M11" s="11" t="inlineStr">
        <is>
          <t>No</t>
        </is>
      </c>
      <c r="N11" s="11" t="inlineStr"/>
      <c r="O11" s="11" t="inlineStr">
        <is>
          <t>Modules/01-LLM-Engineering/01-04-Model-Routing-LiteLLM.md</t>
        </is>
      </c>
      <c r="P11" s="12">
        <f>IF(O11="","",IF(Config!$B$6="GitHub",HYPERLINK(Config!$B$5&amp;O11,"Open doc"),HYPERLINK("file://"&amp;Config!$B$4&amp;O11,"Open doc")))</f>
        <v/>
      </c>
      <c r="Q11" s="11" t="inlineStr"/>
      <c r="R11" s="11">
        <f>COUNTIFS(Resources!A:A,"Module",Resources!B:B,A11)</f>
        <v/>
      </c>
    </row>
    <row r="12">
      <c r="A12" s="11" t="inlineStr">
        <is>
          <t>01-05</t>
        </is>
      </c>
      <c r="B12" s="11" t="inlineStr">
        <is>
          <t>01-05 — Inference Serving with vLLM, Ollama &amp; Quantization</t>
        </is>
      </c>
      <c r="C12" s="11" t="inlineStr">
        <is>
          <t>01 LLM Engineering</t>
        </is>
      </c>
      <c r="D12" s="11" t="inlineStr">
        <is>
          <t>LLM Engineering</t>
        </is>
      </c>
      <c r="E12" s="11" t="n">
        <v>1</v>
      </c>
      <c r="F12" s="11" t="n">
        <v>3</v>
      </c>
      <c r="G12" s="11" t="inlineStr">
        <is>
          <t>IC</t>
        </is>
      </c>
      <c r="H12" s="11" t="n">
        <v>6</v>
      </c>
      <c r="I12" s="11" t="inlineStr">
        <is>
          <t>Not started</t>
        </is>
      </c>
      <c r="J12" s="11" t="inlineStr"/>
      <c r="K12" s="11" t="inlineStr">
        <is>
          <t>No</t>
        </is>
      </c>
      <c r="L12" s="11" t="inlineStr">
        <is>
          <t>No</t>
        </is>
      </c>
      <c r="M12" s="11" t="inlineStr">
        <is>
          <t>No</t>
        </is>
      </c>
      <c r="N12" s="11" t="inlineStr"/>
      <c r="O12" s="11" t="inlineStr">
        <is>
          <t>Modules/01-LLM-Engineering/01-05-Inference-Serving-vLLM.md</t>
        </is>
      </c>
      <c r="P12" s="12">
        <f>IF(O12="","",IF(Config!$B$6="GitHub",HYPERLINK(Config!$B$5&amp;O12,"Open doc"),HYPERLINK("file://"&amp;Config!$B$4&amp;O12,"Open doc")))</f>
        <v/>
      </c>
      <c r="Q12" s="11" t="inlineStr"/>
      <c r="R12" s="11">
        <f>COUNTIFS(Resources!A:A,"Module",Resources!B:B,A12)</f>
        <v/>
      </c>
    </row>
    <row r="13">
      <c r="A13" s="11" t="inlineStr">
        <is>
          <t>02-01</t>
        </is>
      </c>
      <c r="B13" s="11" t="inlineStr">
        <is>
          <t>02-01 — Production Prompt Engineering</t>
        </is>
      </c>
      <c r="C13" s="11" t="inlineStr">
        <is>
          <t>02 Prompt Engineering</t>
        </is>
      </c>
      <c r="D13" s="11" t="inlineStr">
        <is>
          <t>Prompt Engineering</t>
        </is>
      </c>
      <c r="E13" s="11" t="n">
        <v>2</v>
      </c>
      <c r="F13" s="11" t="n">
        <v>4</v>
      </c>
      <c r="G13" s="11" t="inlineStr">
        <is>
          <t>IC+EM</t>
        </is>
      </c>
      <c r="H13" s="11" t="n">
        <v>6</v>
      </c>
      <c r="I13" s="11" t="inlineStr">
        <is>
          <t>Not started</t>
        </is>
      </c>
      <c r="J13" s="11" t="inlineStr"/>
      <c r="K13" s="11" t="inlineStr">
        <is>
          <t>No</t>
        </is>
      </c>
      <c r="L13" s="11" t="inlineStr">
        <is>
          <t>No</t>
        </is>
      </c>
      <c r="M13" s="11" t="inlineStr">
        <is>
          <t>No</t>
        </is>
      </c>
      <c r="N13" s="11" t="inlineStr"/>
      <c r="O13" s="11" t="inlineStr">
        <is>
          <t>Modules/02-Prompt-Engineering/02-01-Production-Prompt-Engineering.md</t>
        </is>
      </c>
      <c r="P13" s="12">
        <f>IF(O13="","",IF(Config!$B$6="GitHub",HYPERLINK(Config!$B$5&amp;O13,"Open doc"),HYPERLINK("file://"&amp;Config!$B$4&amp;O13,"Open doc")))</f>
        <v/>
      </c>
      <c r="Q13" s="11" t="inlineStr"/>
      <c r="R13" s="11">
        <f>COUNTIFS(Resources!A:A,"Module",Resources!B:B,A13)</f>
        <v/>
      </c>
    </row>
    <row r="14">
      <c r="A14" s="11" t="inlineStr">
        <is>
          <t>02-02</t>
        </is>
      </c>
      <c r="B14" s="11" t="inlineStr">
        <is>
          <t>02-02 — Structured Outputs &amp; Tool Calling</t>
        </is>
      </c>
      <c r="C14" s="11" t="inlineStr">
        <is>
          <t>02 Prompt Engineering</t>
        </is>
      </c>
      <c r="D14" s="11" t="inlineStr">
        <is>
          <t>Prompt Engineering</t>
        </is>
      </c>
      <c r="E14" s="11" t="n">
        <v>2</v>
      </c>
      <c r="F14" s="11" t="n">
        <v>4</v>
      </c>
      <c r="G14" s="11" t="inlineStr">
        <is>
          <t>IC+EM</t>
        </is>
      </c>
      <c r="H14" s="11" t="n">
        <v>7</v>
      </c>
      <c r="I14" s="11" t="inlineStr">
        <is>
          <t>Not started</t>
        </is>
      </c>
      <c r="J14" s="11" t="inlineStr"/>
      <c r="K14" s="11" t="inlineStr">
        <is>
          <t>No</t>
        </is>
      </c>
      <c r="L14" s="11" t="inlineStr">
        <is>
          <t>No</t>
        </is>
      </c>
      <c r="M14" s="11" t="inlineStr">
        <is>
          <t>No</t>
        </is>
      </c>
      <c r="N14" s="11" t="inlineStr"/>
      <c r="O14" s="11" t="inlineStr">
        <is>
          <t>Modules/02-Prompt-Engineering/02-02-Structured-Outputs-Tool-Calling.md</t>
        </is>
      </c>
      <c r="P14" s="12">
        <f>IF(O14="","",IF(Config!$B$6="GitHub",HYPERLINK(Config!$B$5&amp;O14,"Open doc"),HYPERLINK("file://"&amp;Config!$B$4&amp;O14,"Open doc")))</f>
        <v/>
      </c>
      <c r="Q14" s="11" t="inlineStr"/>
      <c r="R14" s="11">
        <f>COUNTIFS(Resources!A:A,"Module",Resources!B:B,A14)</f>
        <v/>
      </c>
    </row>
    <row r="15">
      <c r="A15" s="11" t="inlineStr">
        <is>
          <t>03-01</t>
        </is>
      </c>
      <c r="B15" s="11" t="inlineStr">
        <is>
          <t>03-01 — Agent Anatomy &amp; the Think→Act→Observe Loop</t>
        </is>
      </c>
      <c r="C15" s="11" t="inlineStr">
        <is>
          <t>03 Agentic Fundamentals</t>
        </is>
      </c>
      <c r="D15" s="11" t="inlineStr">
        <is>
          <t>Agentic Fundamentals</t>
        </is>
      </c>
      <c r="E15" s="11" t="n">
        <v>3</v>
      </c>
      <c r="F15" s="11" t="n">
        <v>5</v>
      </c>
      <c r="G15" s="11" t="inlineStr">
        <is>
          <t>IC+EM</t>
        </is>
      </c>
      <c r="H15" s="11" t="n">
        <v>6</v>
      </c>
      <c r="I15" s="11" t="inlineStr">
        <is>
          <t>Not started</t>
        </is>
      </c>
      <c r="J15" s="11" t="inlineStr"/>
      <c r="K15" s="11" t="inlineStr">
        <is>
          <t>No</t>
        </is>
      </c>
      <c r="L15" s="11" t="inlineStr">
        <is>
          <t>No</t>
        </is>
      </c>
      <c r="M15" s="11" t="inlineStr">
        <is>
          <t>No</t>
        </is>
      </c>
      <c r="N15" s="11" t="inlineStr"/>
      <c r="O15" s="11" t="inlineStr">
        <is>
          <t>Modules/03-Agentic-Fundamentals/03-01-Agent-Anatomy-and-Loop.md</t>
        </is>
      </c>
      <c r="P15" s="12">
        <f>IF(O15="","",IF(Config!$B$6="GitHub",HYPERLINK(Config!$B$5&amp;O15,"Open doc"),HYPERLINK("file://"&amp;Config!$B$4&amp;O15,"Open doc")))</f>
        <v/>
      </c>
      <c r="Q15" s="11" t="inlineStr"/>
      <c r="R15" s="11">
        <f>COUNTIFS(Resources!A:A,"Module",Resources!B:B,A15)</f>
        <v/>
      </c>
    </row>
    <row r="16">
      <c r="A16" s="11" t="inlineStr">
        <is>
          <t>03-02</t>
        </is>
      </c>
      <c r="B16" s="11" t="inlineStr">
        <is>
          <t>03-02 — Tools, Memory &amp; Control Flow</t>
        </is>
      </c>
      <c r="C16" s="11" t="inlineStr">
        <is>
          <t>03 Agentic Fundamentals</t>
        </is>
      </c>
      <c r="D16" s="11" t="inlineStr">
        <is>
          <t>Agentic Fundamentals</t>
        </is>
      </c>
      <c r="E16" s="11" t="n">
        <v>3</v>
      </c>
      <c r="F16" s="11" t="n">
        <v>5</v>
      </c>
      <c r="G16" s="11" t="inlineStr">
        <is>
          <t>IC+EM</t>
        </is>
      </c>
      <c r="H16" s="11" t="n">
        <v>7</v>
      </c>
      <c r="I16" s="11" t="inlineStr">
        <is>
          <t>Not started</t>
        </is>
      </c>
      <c r="J16" s="11" t="inlineStr"/>
      <c r="K16" s="11" t="inlineStr">
        <is>
          <t>No</t>
        </is>
      </c>
      <c r="L16" s="11" t="inlineStr">
        <is>
          <t>No</t>
        </is>
      </c>
      <c r="M16" s="11" t="inlineStr">
        <is>
          <t>No</t>
        </is>
      </c>
      <c r="N16" s="11" t="inlineStr"/>
      <c r="O16" s="11" t="inlineStr">
        <is>
          <t>Modules/03-Agentic-Fundamentals/03-02-Tools-Memory-Control-Flow.md</t>
        </is>
      </c>
      <c r="P16" s="12">
        <f>IF(O16="","",IF(Config!$B$6="GitHub",HYPERLINK(Config!$B$5&amp;O16,"Open doc"),HYPERLINK("file://"&amp;Config!$B$4&amp;O16,"Open doc")))</f>
        <v/>
      </c>
      <c r="Q16" s="11" t="inlineStr"/>
      <c r="R16" s="11">
        <f>COUNTIFS(Resources!A:A,"Module",Resources!B:B,A16)</f>
        <v/>
      </c>
    </row>
    <row r="17">
      <c r="A17" s="11" t="inlineStr">
        <is>
          <t>03-03</t>
        </is>
      </c>
      <c r="B17" s="11" t="inlineStr">
        <is>
          <t>03-03 — LangGraph Production Agents: State, Memory, HITL &amp; Deployment</t>
        </is>
      </c>
      <c r="C17" s="11" t="inlineStr">
        <is>
          <t>03 Agentic Fundamentals</t>
        </is>
      </c>
      <c r="D17" s="11" t="inlineStr">
        <is>
          <t>Agentic Fundamentals</t>
        </is>
      </c>
      <c r="E17" s="11" t="n">
        <v>3</v>
      </c>
      <c r="F17" s="11" t="n">
        <v>6</v>
      </c>
      <c r="G17" s="11" t="inlineStr">
        <is>
          <t>IC+EM</t>
        </is>
      </c>
      <c r="H17" s="11" t="n">
        <v>7</v>
      </c>
      <c r="I17" s="11" t="inlineStr">
        <is>
          <t>Not started</t>
        </is>
      </c>
      <c r="J17" s="11" t="inlineStr"/>
      <c r="K17" s="11" t="inlineStr">
        <is>
          <t>No</t>
        </is>
      </c>
      <c r="L17" s="11" t="inlineStr">
        <is>
          <t>No</t>
        </is>
      </c>
      <c r="M17" s="11" t="inlineStr">
        <is>
          <t>No</t>
        </is>
      </c>
      <c r="N17" s="11" t="inlineStr"/>
      <c r="O17" s="11" t="inlineStr">
        <is>
          <t>Modules/03-Agentic-Fundamentals/03-03-LangGraph-Production-Agents.md</t>
        </is>
      </c>
      <c r="P17" s="12">
        <f>IF(O17="","",IF(Config!$B$6="GitHub",HYPERLINK(Config!$B$5&amp;O17,"Open doc"),HYPERLINK("file://"&amp;Config!$B$4&amp;O17,"Open doc")))</f>
        <v/>
      </c>
      <c r="Q17" s="11" t="inlineStr"/>
      <c r="R17" s="11">
        <f>COUNTIFS(Resources!A:A,"Module",Resources!B:B,A17)</f>
        <v/>
      </c>
    </row>
    <row r="18">
      <c r="A18" s="11" t="inlineStr">
        <is>
          <t>03-04</t>
        </is>
      </c>
      <c r="B18" s="11" t="inlineStr">
        <is>
          <t>03-04 — Agentic Design Patterns: Routing, Reflection, ReAct &amp; More</t>
        </is>
      </c>
      <c r="C18" s="11" t="inlineStr">
        <is>
          <t>03 Agentic Fundamentals</t>
        </is>
      </c>
      <c r="D18" s="11" t="inlineStr">
        <is>
          <t>Agentic Fundamentals</t>
        </is>
      </c>
      <c r="E18" s="11" t="n">
        <v>3</v>
      </c>
      <c r="F18" s="11" t="n">
        <v>6</v>
      </c>
      <c r="G18" s="11" t="inlineStr">
        <is>
          <t>IC+EM</t>
        </is>
      </c>
      <c r="H18" s="11" t="n">
        <v>6</v>
      </c>
      <c r="I18" s="11" t="inlineStr">
        <is>
          <t>Not started</t>
        </is>
      </c>
      <c r="J18" s="11" t="inlineStr"/>
      <c r="K18" s="11" t="inlineStr">
        <is>
          <t>No</t>
        </is>
      </c>
      <c r="L18" s="11" t="inlineStr">
        <is>
          <t>No</t>
        </is>
      </c>
      <c r="M18" s="11" t="inlineStr">
        <is>
          <t>No</t>
        </is>
      </c>
      <c r="N18" s="11" t="inlineStr"/>
      <c r="O18" s="11" t="inlineStr">
        <is>
          <t>Modules/03-Agentic-Fundamentals/03-04-Agentic-Design-Patterns.md</t>
        </is>
      </c>
      <c r="P18" s="12">
        <f>IF(O18="","",IF(Config!$B$6="GitHub",HYPERLINK(Config!$B$5&amp;O18,"Open doc"),HYPERLINK("file://"&amp;Config!$B$4&amp;O18,"Open doc")))</f>
        <v/>
      </c>
      <c r="Q18" s="11" t="inlineStr"/>
      <c r="R18" s="11">
        <f>COUNTIFS(Resources!A:A,"Module",Resources!B:B,A18)</f>
        <v/>
      </c>
    </row>
    <row r="19">
      <c r="A19" s="11" t="inlineStr">
        <is>
          <t>04-01</t>
        </is>
      </c>
      <c r="B19" s="11" t="inlineStr">
        <is>
          <t>04-01 — RAG Architecture: Grounding LLMs with External Knowledge</t>
        </is>
      </c>
      <c r="C19" s="11" t="inlineStr">
        <is>
          <t>04 RAG</t>
        </is>
      </c>
      <c r="D19" s="11" t="inlineStr">
        <is>
          <t>RAG</t>
        </is>
      </c>
      <c r="E19" s="11" t="n">
        <v>4</v>
      </c>
      <c r="F19" s="11" t="n">
        <v>7</v>
      </c>
      <c r="G19" s="11" t="inlineStr">
        <is>
          <t>IC</t>
        </is>
      </c>
      <c r="H19" s="11" t="n">
        <v>6</v>
      </c>
      <c r="I19" s="11" t="inlineStr">
        <is>
          <t>Not started</t>
        </is>
      </c>
      <c r="J19" s="11" t="inlineStr"/>
      <c r="K19" s="11" t="inlineStr">
        <is>
          <t>No</t>
        </is>
      </c>
      <c r="L19" s="11" t="inlineStr">
        <is>
          <t>No</t>
        </is>
      </c>
      <c r="M19" s="11" t="inlineStr">
        <is>
          <t>No</t>
        </is>
      </c>
      <c r="N19" s="11" t="inlineStr"/>
      <c r="O19" s="11" t="inlineStr">
        <is>
          <t>Modules/04-RAG/04-01-RAG-Architecture.md</t>
        </is>
      </c>
      <c r="P19" s="12">
        <f>IF(O19="","",IF(Config!$B$6="GitHub",HYPERLINK(Config!$B$5&amp;O19,"Open doc"),HYPERLINK("file://"&amp;Config!$B$4&amp;O19,"Open doc")))</f>
        <v/>
      </c>
      <c r="Q19" s="11" t="inlineStr"/>
      <c r="R19" s="11">
        <f>COUNTIFS(Resources!A:A,"Module",Resources!B:B,A19)</f>
        <v/>
      </c>
    </row>
    <row r="20">
      <c r="A20" s="11" t="inlineStr">
        <is>
          <t>04-02</t>
        </is>
      </c>
      <c r="B20" s="11" t="inlineStr">
        <is>
          <t>04-02 — Chunking, Metadata &amp; Embeddings</t>
        </is>
      </c>
      <c r="C20" s="11" t="inlineStr">
        <is>
          <t>04 RAG</t>
        </is>
      </c>
      <c r="D20" s="11" t="inlineStr">
        <is>
          <t>RAG</t>
        </is>
      </c>
      <c r="E20" s="11" t="n">
        <v>4</v>
      </c>
      <c r="F20" s="11" t="n">
        <v>7</v>
      </c>
      <c r="G20" s="11" t="inlineStr">
        <is>
          <t>IC</t>
        </is>
      </c>
      <c r="H20" s="11" t="n">
        <v>6</v>
      </c>
      <c r="I20" s="11" t="inlineStr">
        <is>
          <t>Not started</t>
        </is>
      </c>
      <c r="J20" s="11" t="inlineStr"/>
      <c r="K20" s="11" t="inlineStr">
        <is>
          <t>No</t>
        </is>
      </c>
      <c r="L20" s="11" t="inlineStr">
        <is>
          <t>No</t>
        </is>
      </c>
      <c r="M20" s="11" t="inlineStr">
        <is>
          <t>No</t>
        </is>
      </c>
      <c r="N20" s="11" t="inlineStr"/>
      <c r="O20" s="11" t="inlineStr">
        <is>
          <t>Modules/04-RAG/04-02-Chunking-Metadata-Embeddings.md</t>
        </is>
      </c>
      <c r="P20" s="12">
        <f>IF(O20="","",IF(Config!$B$6="GitHub",HYPERLINK(Config!$B$5&amp;O20,"Open doc"),HYPERLINK("file://"&amp;Config!$B$4&amp;O20,"Open doc")))</f>
        <v/>
      </c>
      <c r="Q20" s="11" t="inlineStr"/>
      <c r="R20" s="11">
        <f>COUNTIFS(Resources!A:A,"Module",Resources!B:B,A20)</f>
        <v/>
      </c>
    </row>
    <row r="21">
      <c r="A21" s="11" t="inlineStr">
        <is>
          <t>04-03</t>
        </is>
      </c>
      <c r="B21" s="11" t="inlineStr">
        <is>
          <t>04-03 — Vector DBs, Hybrid Search &amp; Reranking</t>
        </is>
      </c>
      <c r="C21" s="11" t="inlineStr">
        <is>
          <t>04 RAG</t>
        </is>
      </c>
      <c r="D21" s="11" t="inlineStr">
        <is>
          <t>RAG</t>
        </is>
      </c>
      <c r="E21" s="11" t="n">
        <v>4</v>
      </c>
      <c r="F21" s="11" t="n">
        <v>8</v>
      </c>
      <c r="G21" s="11" t="inlineStr">
        <is>
          <t>IC</t>
        </is>
      </c>
      <c r="H21" s="11" t="n">
        <v>6</v>
      </c>
      <c r="I21" s="11" t="inlineStr">
        <is>
          <t>Not started</t>
        </is>
      </c>
      <c r="J21" s="11" t="inlineStr"/>
      <c r="K21" s="11" t="inlineStr">
        <is>
          <t>No</t>
        </is>
      </c>
      <c r="L21" s="11" t="inlineStr">
        <is>
          <t>No</t>
        </is>
      </c>
      <c r="M21" s="11" t="inlineStr">
        <is>
          <t>No</t>
        </is>
      </c>
      <c r="N21" s="11" t="inlineStr"/>
      <c r="O21" s="11" t="inlineStr">
        <is>
          <t>Modules/04-RAG/04-03-Vector-DB-Hybrid-Search-Reranking.md</t>
        </is>
      </c>
      <c r="P21" s="12">
        <f>IF(O21="","",IF(Config!$B$6="GitHub",HYPERLINK(Config!$B$5&amp;O21,"Open doc"),HYPERLINK("file://"&amp;Config!$B$4&amp;O21,"Open doc")))</f>
        <v/>
      </c>
      <c r="Q21" s="11" t="inlineStr"/>
      <c r="R21" s="11">
        <f>COUNTIFS(Resources!A:A,"Module",Resources!B:B,A21)</f>
        <v/>
      </c>
    </row>
    <row r="22">
      <c r="A22" s="11" t="inlineStr">
        <is>
          <t>04-04</t>
        </is>
      </c>
      <c r="B22" s="11" t="inlineStr">
        <is>
          <t>04-04 — Advanced RAG: HyDE, GraphRAG &amp; Agentic RAG</t>
        </is>
      </c>
      <c r="C22" s="11" t="inlineStr">
        <is>
          <t>04 RAG</t>
        </is>
      </c>
      <c r="D22" s="11" t="inlineStr">
        <is>
          <t>RAG</t>
        </is>
      </c>
      <c r="E22" s="11" t="n">
        <v>4</v>
      </c>
      <c r="F22" s="11" t="n">
        <v>8</v>
      </c>
      <c r="G22" s="11" t="inlineStr">
        <is>
          <t>IC</t>
        </is>
      </c>
      <c r="H22" s="11" t="n">
        <v>7</v>
      </c>
      <c r="I22" s="11" t="inlineStr">
        <is>
          <t>Not started</t>
        </is>
      </c>
      <c r="J22" s="11" t="inlineStr"/>
      <c r="K22" s="11" t="inlineStr">
        <is>
          <t>No</t>
        </is>
      </c>
      <c r="L22" s="11" t="inlineStr">
        <is>
          <t>No</t>
        </is>
      </c>
      <c r="M22" s="11" t="inlineStr">
        <is>
          <t>No</t>
        </is>
      </c>
      <c r="N22" s="11" t="inlineStr"/>
      <c r="O22" s="11" t="inlineStr">
        <is>
          <t>Modules/04-RAG/04-04-Advanced-RAG-HyDE-GraphRAG.md</t>
        </is>
      </c>
      <c r="P22" s="12">
        <f>IF(O22="","",IF(Config!$B$6="GitHub",HYPERLINK(Config!$B$5&amp;O22,"Open doc"),HYPERLINK("file://"&amp;Config!$B$4&amp;O22,"Open doc")))</f>
        <v/>
      </c>
      <c r="Q22" s="11" t="inlineStr"/>
      <c r="R22" s="11">
        <f>COUNTIFS(Resources!A:A,"Module",Resources!B:B,A22)</f>
        <v/>
      </c>
    </row>
    <row r="23">
      <c r="A23" s="11" t="inlineStr">
        <is>
          <t>05-01</t>
        </is>
      </c>
      <c r="B23" s="11" t="inlineStr">
        <is>
          <t>05-01 — Multi-Agent Orchestration: When One Agent Is Not Enough</t>
        </is>
      </c>
      <c r="C23" s="11" t="inlineStr">
        <is>
          <t>05 Multi-Agent</t>
        </is>
      </c>
      <c r="D23" s="11" t="inlineStr">
        <is>
          <t>Multi Agent</t>
        </is>
      </c>
      <c r="E23" s="11" t="n">
        <v>5</v>
      </c>
      <c r="F23" s="11" t="n">
        <v>9</v>
      </c>
      <c r="G23" s="11" t="inlineStr">
        <is>
          <t>IC+EM</t>
        </is>
      </c>
      <c r="H23" s="11" t="n">
        <v>6</v>
      </c>
      <c r="I23" s="11" t="inlineStr">
        <is>
          <t>Not started</t>
        </is>
      </c>
      <c r="J23" s="11" t="inlineStr"/>
      <c r="K23" s="11" t="inlineStr">
        <is>
          <t>No</t>
        </is>
      </c>
      <c r="L23" s="11" t="inlineStr">
        <is>
          <t>No</t>
        </is>
      </c>
      <c r="M23" s="11" t="inlineStr">
        <is>
          <t>No</t>
        </is>
      </c>
      <c r="N23" s="11" t="inlineStr"/>
      <c r="O23" s="11" t="inlineStr">
        <is>
          <t>Modules/05-Multi-Agent/05-01-Multi-Agent-Orchestration.md</t>
        </is>
      </c>
      <c r="P23" s="12">
        <f>IF(O23="","",IF(Config!$B$6="GitHub",HYPERLINK(Config!$B$5&amp;O23,"Open doc"),HYPERLINK("file://"&amp;Config!$B$4&amp;O23,"Open doc")))</f>
        <v/>
      </c>
      <c r="Q23" s="11" t="inlineStr"/>
      <c r="R23" s="11">
        <f>COUNTIFS(Resources!A:A,"Module",Resources!B:B,A23)</f>
        <v/>
      </c>
    </row>
    <row r="24">
      <c r="A24" s="11" t="inlineStr">
        <is>
          <t>05-02</t>
        </is>
      </c>
      <c r="B24" s="11" t="inlineStr">
        <is>
          <t>05-02 — Planner–Executor–Critic, Supervisor, DAG &amp; Hybrid Patterns</t>
        </is>
      </c>
      <c r="C24" s="11" t="inlineStr">
        <is>
          <t>05 Multi-Agent</t>
        </is>
      </c>
      <c r="D24" s="11" t="inlineStr">
        <is>
          <t>Multi Agent</t>
        </is>
      </c>
      <c r="E24" s="11" t="n">
        <v>5</v>
      </c>
      <c r="F24" s="11" t="n">
        <v>9</v>
      </c>
      <c r="G24" s="11" t="inlineStr">
        <is>
          <t>IC+EM</t>
        </is>
      </c>
      <c r="H24" s="11" t="n">
        <v>7</v>
      </c>
      <c r="I24" s="11" t="inlineStr">
        <is>
          <t>Not started</t>
        </is>
      </c>
      <c r="J24" s="11" t="inlineStr"/>
      <c r="K24" s="11" t="inlineStr">
        <is>
          <t>No</t>
        </is>
      </c>
      <c r="L24" s="11" t="inlineStr">
        <is>
          <t>No</t>
        </is>
      </c>
      <c r="M24" s="11" t="inlineStr">
        <is>
          <t>No</t>
        </is>
      </c>
      <c r="N24" s="11" t="inlineStr"/>
      <c r="O24" s="11" t="inlineStr">
        <is>
          <t>Modules/05-Multi-Agent/05-02-Planner-Executor-Critic.md</t>
        </is>
      </c>
      <c r="P24" s="12">
        <f>IF(O24="","",IF(Config!$B$6="GitHub",HYPERLINK(Config!$B$5&amp;O24,"Open doc"),HYPERLINK("file://"&amp;Config!$B$4&amp;O24,"Open doc")))</f>
        <v/>
      </c>
      <c r="Q24" s="11" t="inlineStr"/>
      <c r="R24" s="11">
        <f>COUNTIFS(Resources!A:A,"Module",Resources!B:B,A24)</f>
        <v/>
      </c>
    </row>
    <row r="25">
      <c r="A25" s="11" t="inlineStr">
        <is>
          <t>05-03</t>
        </is>
      </c>
      <c r="B25" s="11" t="inlineStr">
        <is>
          <t>05-03 — Frameworks: CrewAI, AutoGen &amp; LangGraph for Production</t>
        </is>
      </c>
      <c r="C25" s="11" t="inlineStr">
        <is>
          <t>05 Multi-Agent</t>
        </is>
      </c>
      <c r="D25" s="11" t="inlineStr">
        <is>
          <t>Multi Agent</t>
        </is>
      </c>
      <c r="E25" s="11" t="n">
        <v>5</v>
      </c>
      <c r="F25" s="11" t="n">
        <v>9</v>
      </c>
      <c r="G25" s="11" t="inlineStr">
        <is>
          <t>IC+EM</t>
        </is>
      </c>
      <c r="H25" s="11" t="n">
        <v>6</v>
      </c>
      <c r="I25" s="11" t="inlineStr">
        <is>
          <t>Not started</t>
        </is>
      </c>
      <c r="J25" s="11" t="inlineStr"/>
      <c r="K25" s="11" t="inlineStr">
        <is>
          <t>No</t>
        </is>
      </c>
      <c r="L25" s="11" t="inlineStr">
        <is>
          <t>No</t>
        </is>
      </c>
      <c r="M25" s="11" t="inlineStr">
        <is>
          <t>No</t>
        </is>
      </c>
      <c r="N25" s="11" t="inlineStr"/>
      <c r="O25" s="11" t="inlineStr">
        <is>
          <t>Modules/05-Multi-Agent/05-03-Frameworks-CrewAI-AutoGen-LangGraph.md</t>
        </is>
      </c>
      <c r="P25" s="12">
        <f>IF(O25="","",IF(Config!$B$6="GitHub",HYPERLINK(Config!$B$5&amp;O25,"Open doc"),HYPERLINK("file://"&amp;Config!$B$4&amp;O25,"Open doc")))</f>
        <v/>
      </c>
      <c r="Q25" s="11" t="inlineStr"/>
      <c r="R25" s="11">
        <f>COUNTIFS(Resources!A:A,"Module",Resources!B:B,A25)</f>
        <v/>
      </c>
    </row>
    <row r="26">
      <c r="A26" s="11" t="inlineStr">
        <is>
          <t>06-01</t>
        </is>
      </c>
      <c r="B26" s="11" t="inlineStr">
        <is>
          <t>06-01 — Voice Pipelines: ASR → LLM → TTS</t>
        </is>
      </c>
      <c r="C26" s="11" t="inlineStr">
        <is>
          <t>06 Voice &amp; Multimodal</t>
        </is>
      </c>
      <c r="D26" s="11" t="inlineStr">
        <is>
          <t>Conversational Multimodal</t>
        </is>
      </c>
      <c r="E26" s="11" t="n">
        <v>6</v>
      </c>
      <c r="F26" s="11" t="n">
        <v>10</v>
      </c>
      <c r="G26" s="11" t="inlineStr">
        <is>
          <t>IC</t>
        </is>
      </c>
      <c r="H26" s="11" t="n">
        <v>6</v>
      </c>
      <c r="I26" s="11" t="inlineStr">
        <is>
          <t>Not started</t>
        </is>
      </c>
      <c r="J26" s="11" t="inlineStr"/>
      <c r="K26" s="11" t="inlineStr">
        <is>
          <t>No</t>
        </is>
      </c>
      <c r="L26" s="11" t="inlineStr">
        <is>
          <t>No</t>
        </is>
      </c>
      <c r="M26" s="11" t="inlineStr">
        <is>
          <t>No</t>
        </is>
      </c>
      <c r="N26" s="11" t="inlineStr"/>
      <c r="O26" s="11" t="inlineStr">
        <is>
          <t>Modules/06-Conversational-Multimodal/06-01-Voice-ASR-TTS-Pipelines.md</t>
        </is>
      </c>
      <c r="P26" s="12">
        <f>IF(O26="","",IF(Config!$B$6="GitHub",HYPERLINK(Config!$B$5&amp;O26,"Open doc"),HYPERLINK("file://"&amp;Config!$B$4&amp;O26,"Open doc")))</f>
        <v/>
      </c>
      <c r="Q26" s="11" t="inlineStr"/>
      <c r="R26" s="11">
        <f>COUNTIFS(Resources!A:A,"Module",Resources!B:B,A26)</f>
        <v/>
      </c>
    </row>
    <row r="27">
      <c r="A27" s="11" t="inlineStr">
        <is>
          <t>06-02</t>
        </is>
      </c>
      <c r="B27" s="11" t="inlineStr">
        <is>
          <t>06-02 — Multimodal Agents (Vision + Text)</t>
        </is>
      </c>
      <c r="C27" s="11" t="inlineStr">
        <is>
          <t>06 Voice &amp; Multimodal</t>
        </is>
      </c>
      <c r="D27" s="11" t="inlineStr">
        <is>
          <t>Conversational Multimodal</t>
        </is>
      </c>
      <c r="E27" s="11" t="n">
        <v>6</v>
      </c>
      <c r="F27" s="11" t="n">
        <v>10</v>
      </c>
      <c r="G27" s="11" t="inlineStr">
        <is>
          <t>IC</t>
        </is>
      </c>
      <c r="H27" s="11" t="n">
        <v>6</v>
      </c>
      <c r="I27" s="11" t="inlineStr">
        <is>
          <t>Not started</t>
        </is>
      </c>
      <c r="J27" s="11" t="inlineStr"/>
      <c r="K27" s="11" t="inlineStr">
        <is>
          <t>No</t>
        </is>
      </c>
      <c r="L27" s="11" t="inlineStr">
        <is>
          <t>No</t>
        </is>
      </c>
      <c r="M27" s="11" t="inlineStr">
        <is>
          <t>No</t>
        </is>
      </c>
      <c r="N27" s="11" t="inlineStr"/>
      <c r="O27" s="11" t="inlineStr">
        <is>
          <t>Modules/06-Conversational-Multimodal/06-02-Multimodal-Agents.md</t>
        </is>
      </c>
      <c r="P27" s="12">
        <f>IF(O27="","",IF(Config!$B$6="GitHub",HYPERLINK(Config!$B$5&amp;O27,"Open doc"),HYPERLINK("file://"&amp;Config!$B$4&amp;O27,"Open doc")))</f>
        <v/>
      </c>
      <c r="Q27" s="11" t="inlineStr"/>
      <c r="R27" s="11">
        <f>COUNTIFS(Resources!A:A,"Module",Resources!B:B,A27)</f>
        <v/>
      </c>
    </row>
    <row r="28">
      <c r="A28" s="11" t="inlineStr">
        <is>
          <t>07-01</t>
        </is>
      </c>
      <c r="B28" s="11" t="inlineStr">
        <is>
          <t>07-01 — Model Context Protocol (MCP)</t>
        </is>
      </c>
      <c r="C28" s="11" t="inlineStr">
        <is>
          <t>07 Protocols MCP/A2A</t>
        </is>
      </c>
      <c r="D28" s="11" t="inlineStr">
        <is>
          <t>Protocols MCP A2A</t>
        </is>
      </c>
      <c r="E28" s="11" t="n">
        <v>7</v>
      </c>
      <c r="F28" s="11" t="n">
        <v>11</v>
      </c>
      <c r="G28" s="11" t="inlineStr">
        <is>
          <t>IC</t>
        </is>
      </c>
      <c r="H28" s="11" t="n">
        <v>6</v>
      </c>
      <c r="I28" s="11" t="inlineStr">
        <is>
          <t>Not started</t>
        </is>
      </c>
      <c r="J28" s="11" t="inlineStr"/>
      <c r="K28" s="11" t="inlineStr">
        <is>
          <t>No</t>
        </is>
      </c>
      <c r="L28" s="11" t="inlineStr">
        <is>
          <t>No</t>
        </is>
      </c>
      <c r="M28" s="11" t="inlineStr">
        <is>
          <t>No</t>
        </is>
      </c>
      <c r="N28" s="11" t="inlineStr"/>
      <c r="O28" s="11" t="inlineStr">
        <is>
          <t>Modules/07-Protocols-MCP-A2A/07-01-MCP-Model-Context-Protocol.md</t>
        </is>
      </c>
      <c r="P28" s="12">
        <f>IF(O28="","",IF(Config!$B$6="GitHub",HYPERLINK(Config!$B$5&amp;O28,"Open doc"),HYPERLINK("file://"&amp;Config!$B$4&amp;O28,"Open doc")))</f>
        <v/>
      </c>
      <c r="Q28" s="11" t="inlineStr"/>
      <c r="R28" s="11">
        <f>COUNTIFS(Resources!A:A,"Module",Resources!B:B,A28)</f>
        <v/>
      </c>
    </row>
    <row r="29">
      <c r="A29" s="11" t="inlineStr">
        <is>
          <t>07-02</t>
        </is>
      </c>
      <c r="B29" s="11" t="inlineStr">
        <is>
          <t>07-02 — Agent-to-Agent (A2A) Protocol</t>
        </is>
      </c>
      <c r="C29" s="11" t="inlineStr">
        <is>
          <t>07 Protocols MCP/A2A</t>
        </is>
      </c>
      <c r="D29" s="11" t="inlineStr">
        <is>
          <t>Protocols MCP A2A</t>
        </is>
      </c>
      <c r="E29" s="11" t="n">
        <v>7</v>
      </c>
      <c r="F29" s="11" t="n">
        <v>11</v>
      </c>
      <c r="G29" s="11" t="inlineStr">
        <is>
          <t>IC</t>
        </is>
      </c>
      <c r="H29" s="11" t="n">
        <v>6</v>
      </c>
      <c r="I29" s="11" t="inlineStr">
        <is>
          <t>Not started</t>
        </is>
      </c>
      <c r="J29" s="11" t="inlineStr"/>
      <c r="K29" s="11" t="inlineStr">
        <is>
          <t>No</t>
        </is>
      </c>
      <c r="L29" s="11" t="inlineStr">
        <is>
          <t>No</t>
        </is>
      </c>
      <c r="M29" s="11" t="inlineStr">
        <is>
          <t>No</t>
        </is>
      </c>
      <c r="N29" s="11" t="inlineStr"/>
      <c r="O29" s="11" t="inlineStr">
        <is>
          <t>Modules/07-Protocols-MCP-A2A/07-02-A2A-Agent-to-Agent.md</t>
        </is>
      </c>
      <c r="P29" s="12">
        <f>IF(O29="","",IF(Config!$B$6="GitHub",HYPERLINK(Config!$B$5&amp;O29,"Open doc"),HYPERLINK("file://"&amp;Config!$B$4&amp;O29,"Open doc")))</f>
        <v/>
      </c>
      <c r="Q29" s="11" t="inlineStr"/>
      <c r="R29" s="11">
        <f>COUNTIFS(Resources!A:A,"Module",Resources!B:B,A29)</f>
        <v/>
      </c>
    </row>
    <row r="30">
      <c r="A30" s="11" t="inlineStr">
        <is>
          <t>07-03</t>
        </is>
      </c>
      <c r="B30" s="11" t="inlineStr">
        <is>
          <t>07-03 — Negotiation &amp; Async Agent Workflows</t>
        </is>
      </c>
      <c r="C30" s="11" t="inlineStr">
        <is>
          <t>07 Protocols MCP/A2A</t>
        </is>
      </c>
      <c r="D30" s="11" t="inlineStr">
        <is>
          <t>Protocols MCP A2A</t>
        </is>
      </c>
      <c r="E30" s="11" t="n">
        <v>7</v>
      </c>
      <c r="F30" s="11" t="n">
        <v>11</v>
      </c>
      <c r="G30" s="11" t="inlineStr">
        <is>
          <t>IC</t>
        </is>
      </c>
      <c r="H30" s="11" t="n">
        <v>7</v>
      </c>
      <c r="I30" s="11" t="inlineStr">
        <is>
          <t>Not started</t>
        </is>
      </c>
      <c r="J30" s="11" t="inlineStr"/>
      <c r="K30" s="11" t="inlineStr">
        <is>
          <t>No</t>
        </is>
      </c>
      <c r="L30" s="11" t="inlineStr">
        <is>
          <t>No</t>
        </is>
      </c>
      <c r="M30" s="11" t="inlineStr">
        <is>
          <t>No</t>
        </is>
      </c>
      <c r="N30" s="11" t="inlineStr"/>
      <c r="O30" s="11" t="inlineStr">
        <is>
          <t>Modules/07-Protocols-MCP-A2A/07-03-Negotiation-Async-Workflows.md</t>
        </is>
      </c>
      <c r="P30" s="12">
        <f>IF(O30="","",IF(Config!$B$6="GitHub",HYPERLINK(Config!$B$5&amp;O30,"Open doc"),HYPERLINK("file://"&amp;Config!$B$4&amp;O30,"Open doc")))</f>
        <v/>
      </c>
      <c r="Q30" s="11" t="inlineStr"/>
      <c r="R30" s="11">
        <f>COUNTIFS(Resources!A:A,"Module",Resources!B:B,A30)</f>
        <v/>
      </c>
    </row>
    <row r="31">
      <c r="A31" s="11" t="inlineStr">
        <is>
          <t>07-04</t>
        </is>
      </c>
      <c r="B31" s="11" t="inlineStr">
        <is>
          <t>07-04 — MCP Production Patterns (Depth)</t>
        </is>
      </c>
      <c r="C31" s="11" t="inlineStr">
        <is>
          <t>07 Protocols MCP/A2A</t>
        </is>
      </c>
      <c r="D31" s="11" t="inlineStr">
        <is>
          <t>Protocols MCP A2A</t>
        </is>
      </c>
      <c r="E31" s="11" t="n">
        <v>7</v>
      </c>
      <c r="F31" s="11" t="n">
        <v>11</v>
      </c>
      <c r="G31" s="11" t="inlineStr">
        <is>
          <t>IC</t>
        </is>
      </c>
      <c r="H31" s="11" t="n">
        <v>7</v>
      </c>
      <c r="I31" s="11" t="inlineStr">
        <is>
          <t>Not started</t>
        </is>
      </c>
      <c r="J31" s="11" t="inlineStr"/>
      <c r="K31" s="11" t="inlineStr">
        <is>
          <t>No</t>
        </is>
      </c>
      <c r="L31" s="11" t="inlineStr">
        <is>
          <t>No</t>
        </is>
      </c>
      <c r="M31" s="11" t="inlineStr">
        <is>
          <t>No</t>
        </is>
      </c>
      <c r="N31" s="11" t="inlineStr"/>
      <c r="O31" s="11" t="inlineStr">
        <is>
          <t>Modules/07-Protocols-MCP-A2A/07-04-MCP-Production-Patterns.md</t>
        </is>
      </c>
      <c r="P31" s="12">
        <f>IF(O31="","",IF(Config!$B$6="GitHub",HYPERLINK(Config!$B$5&amp;O31,"Open doc"),HYPERLINK("file://"&amp;Config!$B$4&amp;O31,"Open doc")))</f>
        <v/>
      </c>
      <c r="Q31" s="11" t="inlineStr"/>
      <c r="R31" s="11">
        <f>COUNTIFS(Resources!A:A,"Module",Resources!B:B,A31)</f>
        <v/>
      </c>
    </row>
    <row r="32">
      <c r="A32" s="11" t="inlineStr">
        <is>
          <t>08-01</t>
        </is>
      </c>
      <c r="B32" s="11" t="inlineStr">
        <is>
          <t>08-01 — Evaluation Lifecycle (Offline + Online)</t>
        </is>
      </c>
      <c r="C32" s="11" t="inlineStr">
        <is>
          <t>08 Eval &amp; LLMOps</t>
        </is>
      </c>
      <c r="D32" s="11" t="inlineStr">
        <is>
          <t>Evaluation LLMOps</t>
        </is>
      </c>
      <c r="E32" s="11" t="n">
        <v>8</v>
      </c>
      <c r="F32" s="11" t="n">
        <v>12</v>
      </c>
      <c r="G32" s="11" t="inlineStr">
        <is>
          <t>IC+EM</t>
        </is>
      </c>
      <c r="H32" s="11" t="n">
        <v>7</v>
      </c>
      <c r="I32" s="11" t="inlineStr">
        <is>
          <t>Not started</t>
        </is>
      </c>
      <c r="J32" s="11" t="inlineStr"/>
      <c r="K32" s="11" t="inlineStr">
        <is>
          <t>No</t>
        </is>
      </c>
      <c r="L32" s="11" t="inlineStr">
        <is>
          <t>No</t>
        </is>
      </c>
      <c r="M32" s="11" t="inlineStr">
        <is>
          <t>No</t>
        </is>
      </c>
      <c r="N32" s="11" t="inlineStr"/>
      <c r="O32" s="11" t="inlineStr">
        <is>
          <t>Modules/08-Evaluation-LLMOps/08-01-Evaluation-Lifecycle.md</t>
        </is>
      </c>
      <c r="P32" s="12">
        <f>IF(O32="","",IF(Config!$B$6="GitHub",HYPERLINK(Config!$B$5&amp;O32,"Open doc"),HYPERLINK("file://"&amp;Config!$B$4&amp;O32,"Open doc")))</f>
        <v/>
      </c>
      <c r="Q32" s="11" t="inlineStr"/>
      <c r="R32" s="11">
        <f>COUNTIFS(Resources!A:A,"Module",Resources!B:B,A32)</f>
        <v/>
      </c>
    </row>
    <row r="33">
      <c r="A33" s="11" t="inlineStr">
        <is>
          <t>08-02</t>
        </is>
      </c>
      <c r="B33" s="11" t="inlineStr">
        <is>
          <t>08-02 — Observability: LangSmith &amp; OpenTelemetry</t>
        </is>
      </c>
      <c r="C33" s="11" t="inlineStr">
        <is>
          <t>08 Eval &amp; LLMOps</t>
        </is>
      </c>
      <c r="D33" s="11" t="inlineStr">
        <is>
          <t>Evaluation LLMOps</t>
        </is>
      </c>
      <c r="E33" s="11" t="n">
        <v>8</v>
      </c>
      <c r="F33" s="11" t="n">
        <v>12</v>
      </c>
      <c r="G33" s="11" t="inlineStr">
        <is>
          <t>IC+EM</t>
        </is>
      </c>
      <c r="H33" s="11" t="n">
        <v>6</v>
      </c>
      <c r="I33" s="11" t="inlineStr">
        <is>
          <t>Not started</t>
        </is>
      </c>
      <c r="J33" s="11" t="inlineStr"/>
      <c r="K33" s="11" t="inlineStr">
        <is>
          <t>No</t>
        </is>
      </c>
      <c r="L33" s="11" t="inlineStr">
        <is>
          <t>No</t>
        </is>
      </c>
      <c r="M33" s="11" t="inlineStr">
        <is>
          <t>No</t>
        </is>
      </c>
      <c r="N33" s="11" t="inlineStr"/>
      <c r="O33" s="11" t="inlineStr">
        <is>
          <t>Modules/08-Evaluation-LLMOps/08-02-Observability-LangSmith-OTel.md</t>
        </is>
      </c>
      <c r="P33" s="12">
        <f>IF(O33="","",IF(Config!$B$6="GitHub",HYPERLINK(Config!$B$5&amp;O33,"Open doc"),HYPERLINK("file://"&amp;Config!$B$4&amp;O33,"Open doc")))</f>
        <v/>
      </c>
      <c r="Q33" s="11" t="inlineStr"/>
      <c r="R33" s="11">
        <f>COUNTIFS(Resources!A:A,"Module",Resources!B:B,A33)</f>
        <v/>
      </c>
    </row>
    <row r="34">
      <c r="A34" s="11" t="inlineStr">
        <is>
          <t>08-03</t>
        </is>
      </c>
      <c r="B34" s="11" t="inlineStr">
        <is>
          <t>08-03 — Guardrails &amp; Ship Criteria</t>
        </is>
      </c>
      <c r="C34" s="11" t="inlineStr">
        <is>
          <t>08 Eval &amp; LLMOps</t>
        </is>
      </c>
      <c r="D34" s="11" t="inlineStr">
        <is>
          <t>Evaluation LLMOps</t>
        </is>
      </c>
      <c r="E34" s="11" t="n">
        <v>8</v>
      </c>
      <c r="F34" s="11" t="n">
        <v>12</v>
      </c>
      <c r="G34" s="11" t="inlineStr">
        <is>
          <t>IC+EM</t>
        </is>
      </c>
      <c r="H34" s="11" t="n">
        <v>6</v>
      </c>
      <c r="I34" s="11" t="inlineStr">
        <is>
          <t>Not started</t>
        </is>
      </c>
      <c r="J34" s="11" t="inlineStr"/>
      <c r="K34" s="11" t="inlineStr">
        <is>
          <t>No</t>
        </is>
      </c>
      <c r="L34" s="11" t="inlineStr">
        <is>
          <t>No</t>
        </is>
      </c>
      <c r="M34" s="11" t="inlineStr">
        <is>
          <t>No</t>
        </is>
      </c>
      <c r="N34" s="11" t="inlineStr"/>
      <c r="O34" s="11" t="inlineStr">
        <is>
          <t>Modules/08-Evaluation-LLMOps/08-03-Guardrails-Ship-Criteria.md</t>
        </is>
      </c>
      <c r="P34" s="12">
        <f>IF(O34="","",IF(Config!$B$6="GitHub",HYPERLINK(Config!$B$5&amp;O34,"Open doc"),HYPERLINK("file://"&amp;Config!$B$4&amp;O34,"Open doc")))</f>
        <v/>
      </c>
      <c r="Q34" s="11" t="inlineStr"/>
      <c r="R34" s="11">
        <f>COUNTIFS(Resources!A:A,"Module",Resources!B:B,A34)</f>
        <v/>
      </c>
    </row>
    <row r="35">
      <c r="A35" s="11" t="inlineStr">
        <is>
          <t>09-01</t>
        </is>
      </c>
      <c r="B35" s="11" t="inlineStr">
        <is>
          <t>09-01 — PEFT, LoRA &amp; QLoRA: Efficient Fine-Tuning for Production</t>
        </is>
      </c>
      <c r="C35" s="11" t="inlineStr">
        <is>
          <t>09 Fine-Tuning</t>
        </is>
      </c>
      <c r="D35" s="11" t="inlineStr">
        <is>
          <t>Fine Tuning</t>
        </is>
      </c>
      <c r="E35" s="11" t="n">
        <v>9</v>
      </c>
      <c r="F35" s="11" t="n">
        <v>13</v>
      </c>
      <c r="G35" s="11" t="inlineStr">
        <is>
          <t>IC</t>
        </is>
      </c>
      <c r="H35" s="11" t="n">
        <v>7</v>
      </c>
      <c r="I35" s="11" t="inlineStr">
        <is>
          <t>Not started</t>
        </is>
      </c>
      <c r="J35" s="11" t="inlineStr"/>
      <c r="K35" s="11" t="inlineStr">
        <is>
          <t>No</t>
        </is>
      </c>
      <c r="L35" s="11" t="inlineStr">
        <is>
          <t>No</t>
        </is>
      </c>
      <c r="M35" s="11" t="inlineStr">
        <is>
          <t>No</t>
        </is>
      </c>
      <c r="N35" s="11" t="inlineStr"/>
      <c r="O35" s="11" t="inlineStr">
        <is>
          <t>Modules/09-Fine-Tuning/09-01-PEFT-LoRA-QLoRA.md</t>
        </is>
      </c>
      <c r="P35" s="12">
        <f>IF(O35="","",IF(Config!$B$6="GitHub",HYPERLINK(Config!$B$5&amp;O35,"Open doc"),HYPERLINK("file://"&amp;Config!$B$4&amp;O35,"Open doc")))</f>
        <v/>
      </c>
      <c r="Q35" s="11" t="inlineStr"/>
      <c r="R35" s="11">
        <f>COUNTIFS(Resources!A:A,"Module",Resources!B:B,A35)</f>
        <v/>
      </c>
    </row>
    <row r="36">
      <c r="A36" s="11" t="inlineStr">
        <is>
          <t>09-02</t>
        </is>
      </c>
      <c r="B36" s="11" t="inlineStr">
        <is>
          <t>09-02 — Prompting vs RAG vs Fine-Tuning: The Decision Framework</t>
        </is>
      </c>
      <c r="C36" s="11" t="inlineStr">
        <is>
          <t>09 Fine-Tuning</t>
        </is>
      </c>
      <c r="D36" s="11" t="inlineStr">
        <is>
          <t>Fine Tuning</t>
        </is>
      </c>
      <c r="E36" s="11" t="n">
        <v>9</v>
      </c>
      <c r="F36" s="11" t="n">
        <v>13</v>
      </c>
      <c r="G36" s="11" t="inlineStr">
        <is>
          <t>IC</t>
        </is>
      </c>
      <c r="H36" s="11" t="n">
        <v>5</v>
      </c>
      <c r="I36" s="11" t="inlineStr">
        <is>
          <t>Not started</t>
        </is>
      </c>
      <c r="J36" s="11" t="inlineStr"/>
      <c r="K36" s="11" t="inlineStr">
        <is>
          <t>No</t>
        </is>
      </c>
      <c r="L36" s="11" t="inlineStr">
        <is>
          <t>No</t>
        </is>
      </c>
      <c r="M36" s="11" t="inlineStr">
        <is>
          <t>No</t>
        </is>
      </c>
      <c r="N36" s="11" t="inlineStr"/>
      <c r="O36" s="11" t="inlineStr">
        <is>
          <t>Modules/09-Fine-Tuning/09-02-Prompting-vs-RAG-vs-FineTuning.md</t>
        </is>
      </c>
      <c r="P36" s="12">
        <f>IF(O36="","",IF(Config!$B$6="GitHub",HYPERLINK(Config!$B$5&amp;O36,"Open doc"),HYPERLINK("file://"&amp;Config!$B$4&amp;O36,"Open doc")))</f>
        <v/>
      </c>
      <c r="Q36" s="11" t="inlineStr"/>
      <c r="R36" s="11">
        <f>COUNTIFS(Resources!A:A,"Module",Resources!B:B,A36)</f>
        <v/>
      </c>
    </row>
    <row r="37">
      <c r="A37" s="11" t="inlineStr">
        <is>
          <t>09-03</t>
        </is>
      </c>
      <c r="B37" s="11" t="inlineStr">
        <is>
          <t>09-03 — Serving &amp; Integrating Fine-Tuned Models</t>
        </is>
      </c>
      <c r="C37" s="11" t="inlineStr">
        <is>
          <t>09 Fine-Tuning</t>
        </is>
      </c>
      <c r="D37" s="11" t="inlineStr">
        <is>
          <t>Fine Tuning</t>
        </is>
      </c>
      <c r="E37" s="11" t="n">
        <v>9</v>
      </c>
      <c r="F37" s="11" t="n">
        <v>13</v>
      </c>
      <c r="G37" s="11" t="inlineStr">
        <is>
          <t>IC</t>
        </is>
      </c>
      <c r="H37" s="11" t="n">
        <v>6</v>
      </c>
      <c r="I37" s="11" t="inlineStr">
        <is>
          <t>Not started</t>
        </is>
      </c>
      <c r="J37" s="11" t="inlineStr"/>
      <c r="K37" s="11" t="inlineStr">
        <is>
          <t>No</t>
        </is>
      </c>
      <c r="L37" s="11" t="inlineStr">
        <is>
          <t>No</t>
        </is>
      </c>
      <c r="M37" s="11" t="inlineStr">
        <is>
          <t>No</t>
        </is>
      </c>
      <c r="N37" s="11" t="inlineStr"/>
      <c r="O37" s="11" t="inlineStr">
        <is>
          <t>Modules/09-Fine-Tuning/09-03-Serving-Integrating-FineTuned-Models.md</t>
        </is>
      </c>
      <c r="P37" s="12">
        <f>IF(O37="","",IF(Config!$B$6="GitHub",HYPERLINK(Config!$B$5&amp;O37,"Open doc"),HYPERLINK("file://"&amp;Config!$B$4&amp;O37,"Open doc")))</f>
        <v/>
      </c>
      <c r="Q37" s="11" t="inlineStr"/>
      <c r="R37" s="11">
        <f>COUNTIFS(Resources!A:A,"Module",Resources!B:B,A37)</f>
        <v/>
      </c>
    </row>
    <row r="38">
      <c r="A38" s="11" t="inlineStr">
        <is>
          <t>10-01</t>
        </is>
      </c>
      <c r="B38" s="11" t="inlineStr">
        <is>
          <t>10-01 — FastAPI AI Backends: Production API Patterns for LLM Apps</t>
        </is>
      </c>
      <c r="C38" s="11" t="inlineStr">
        <is>
          <t>10 Production Infra</t>
        </is>
      </c>
      <c r="D38" s="11" t="inlineStr">
        <is>
          <t>Production Infrastructure</t>
        </is>
      </c>
      <c r="E38" s="11" t="n">
        <v>10</v>
      </c>
      <c r="F38" s="11" t="n">
        <v>14</v>
      </c>
      <c r="G38" s="11" t="inlineStr">
        <is>
          <t>IC</t>
        </is>
      </c>
      <c r="H38" s="11" t="n">
        <v>6</v>
      </c>
      <c r="I38" s="11" t="inlineStr">
        <is>
          <t>Not started</t>
        </is>
      </c>
      <c r="J38" s="11" t="inlineStr"/>
      <c r="K38" s="11" t="inlineStr">
        <is>
          <t>No</t>
        </is>
      </c>
      <c r="L38" s="11" t="inlineStr">
        <is>
          <t>No</t>
        </is>
      </c>
      <c r="M38" s="11" t="inlineStr">
        <is>
          <t>No</t>
        </is>
      </c>
      <c r="N38" s="11" t="inlineStr"/>
      <c r="O38" s="11" t="inlineStr">
        <is>
          <t>Modules/10-Production-Infrastructure/10-01-FastAPI-AI-Backends.md</t>
        </is>
      </c>
      <c r="P38" s="12">
        <f>IF(O38="","",IF(Config!$B$6="GitHub",HYPERLINK(Config!$B$5&amp;O38,"Open doc"),HYPERLINK("file://"&amp;Config!$B$4&amp;O38,"Open doc")))</f>
        <v/>
      </c>
      <c r="Q38" s="11" t="inlineStr"/>
      <c r="R38" s="11">
        <f>COUNTIFS(Resources!A:A,"Module",Resources!B:B,A38)</f>
        <v/>
      </c>
    </row>
    <row r="39">
      <c r="A39" s="11" t="inlineStr">
        <is>
          <t>10-02</t>
        </is>
      </c>
      <c r="B39" s="11" t="inlineStr">
        <is>
          <t>10-02 — Docker, Kubernetes &amp; CI/CD for AI Services</t>
        </is>
      </c>
      <c r="C39" s="11" t="inlineStr">
        <is>
          <t>10 Production Infra</t>
        </is>
      </c>
      <c r="D39" s="11" t="inlineStr">
        <is>
          <t>Production Infrastructure</t>
        </is>
      </c>
      <c r="E39" s="11" t="n">
        <v>10</v>
      </c>
      <c r="F39" s="11" t="n">
        <v>14</v>
      </c>
      <c r="G39" s="11" t="inlineStr">
        <is>
          <t>IC</t>
        </is>
      </c>
      <c r="H39" s="11" t="n">
        <v>7</v>
      </c>
      <c r="I39" s="11" t="inlineStr">
        <is>
          <t>Not started</t>
        </is>
      </c>
      <c r="J39" s="11" t="inlineStr"/>
      <c r="K39" s="11" t="inlineStr">
        <is>
          <t>No</t>
        </is>
      </c>
      <c r="L39" s="11" t="inlineStr">
        <is>
          <t>No</t>
        </is>
      </c>
      <c r="M39" s="11" t="inlineStr">
        <is>
          <t>No</t>
        </is>
      </c>
      <c r="N39" s="11" t="inlineStr"/>
      <c r="O39" s="11" t="inlineStr">
        <is>
          <t>Modules/10-Production-Infrastructure/10-02-Docker-Kubernetes-CICD.md</t>
        </is>
      </c>
      <c r="P39" s="12">
        <f>IF(O39="","",IF(Config!$B$6="GitHub",HYPERLINK(Config!$B$5&amp;O39,"Open doc"),HYPERLINK("file://"&amp;Config!$B$4&amp;O39,"Open doc")))</f>
        <v/>
      </c>
      <c r="Q39" s="11" t="inlineStr"/>
      <c r="R39" s="11">
        <f>COUNTIFS(Resources!A:A,"Module",Resources!B:B,A39)</f>
        <v/>
      </c>
    </row>
    <row r="40">
      <c r="A40" s="11" t="inlineStr">
        <is>
          <t>10-03</t>
        </is>
      </c>
      <c r="B40" s="11" t="inlineStr">
        <is>
          <t>10-03 — Cost &amp; Latency Optimization for LLM Systems</t>
        </is>
      </c>
      <c r="C40" s="11" t="inlineStr">
        <is>
          <t>10 Production Infra</t>
        </is>
      </c>
      <c r="D40" s="11" t="inlineStr">
        <is>
          <t>Production Infrastructure</t>
        </is>
      </c>
      <c r="E40" s="11" t="n">
        <v>10</v>
      </c>
      <c r="F40" s="11" t="n">
        <v>14</v>
      </c>
      <c r="G40" s="11" t="inlineStr">
        <is>
          <t>IC</t>
        </is>
      </c>
      <c r="H40" s="11" t="n">
        <v>6</v>
      </c>
      <c r="I40" s="11" t="inlineStr">
        <is>
          <t>Not started</t>
        </is>
      </c>
      <c r="J40" s="11" t="inlineStr"/>
      <c r="K40" s="11" t="inlineStr">
        <is>
          <t>No</t>
        </is>
      </c>
      <c r="L40" s="11" t="inlineStr">
        <is>
          <t>No</t>
        </is>
      </c>
      <c r="M40" s="11" t="inlineStr">
        <is>
          <t>No</t>
        </is>
      </c>
      <c r="N40" s="11" t="inlineStr"/>
      <c r="O40" s="11" t="inlineStr">
        <is>
          <t>Modules/10-Production-Infrastructure/10-03-Cost-Latency-Optimization.md</t>
        </is>
      </c>
      <c r="P40" s="12">
        <f>IF(O40="","",IF(Config!$B$6="GitHub",HYPERLINK(Config!$B$5&amp;O40,"Open doc"),HYPERLINK("file://"&amp;Config!$B$4&amp;O40,"Open doc")))</f>
        <v/>
      </c>
      <c r="Q40" s="11" t="inlineStr"/>
      <c r="R40" s="11">
        <f>COUNTIFS(Resources!A:A,"Module",Resources!B:B,A40)</f>
        <v/>
      </c>
    </row>
    <row r="41">
      <c r="A41" s="11" t="inlineStr">
        <is>
          <t>10-04</t>
        </is>
      </c>
      <c r="B41" s="11" t="inlineStr">
        <is>
          <t>10-04 — Redis, Kafka &amp; Ray: Async Infrastructure for AI Platforms</t>
        </is>
      </c>
      <c r="C41" s="11" t="inlineStr">
        <is>
          <t>10 Production Infra</t>
        </is>
      </c>
      <c r="D41" s="11" t="inlineStr">
        <is>
          <t>Production Infrastructure</t>
        </is>
      </c>
      <c r="E41" s="11" t="n">
        <v>10</v>
      </c>
      <c r="F41" s="11" t="n">
        <v>14</v>
      </c>
      <c r="G41" s="11" t="inlineStr">
        <is>
          <t>IC</t>
        </is>
      </c>
      <c r="H41" s="11" t="n">
        <v>6</v>
      </c>
      <c r="I41" s="11" t="inlineStr">
        <is>
          <t>Not started</t>
        </is>
      </c>
      <c r="J41" s="11" t="inlineStr"/>
      <c r="K41" s="11" t="inlineStr">
        <is>
          <t>No</t>
        </is>
      </c>
      <c r="L41" s="11" t="inlineStr">
        <is>
          <t>No</t>
        </is>
      </c>
      <c r="M41" s="11" t="inlineStr">
        <is>
          <t>No</t>
        </is>
      </c>
      <c r="N41" s="11" t="inlineStr"/>
      <c r="O41" s="11" t="inlineStr">
        <is>
          <t>Modules/10-Production-Infrastructure/10-04-Redis-Kafka-Ray.md</t>
        </is>
      </c>
      <c r="P41" s="12">
        <f>IF(O41="","",IF(Config!$B$6="GitHub",HYPERLINK(Config!$B$5&amp;O41,"Open doc"),HYPERLINK("file://"&amp;Config!$B$4&amp;O41,"Open doc")))</f>
        <v/>
      </c>
      <c r="Q41" s="11" t="inlineStr"/>
      <c r="R41" s="11">
        <f>COUNTIFS(Resources!A:A,"Module",Resources!B:B,A41)</f>
        <v/>
      </c>
    </row>
    <row r="42">
      <c r="A42" s="11" t="inlineStr">
        <is>
          <t>11-01</t>
        </is>
      </c>
      <c r="B42" s="11" t="inlineStr">
        <is>
          <t>11-01 — OWASP LLM Top 10: Threat Model for Production AI</t>
        </is>
      </c>
      <c r="C42" s="11" t="inlineStr">
        <is>
          <t>11 Security &amp; Safety</t>
        </is>
      </c>
      <c r="D42" s="11" t="inlineStr">
        <is>
          <t>Security Safety</t>
        </is>
      </c>
      <c r="E42" s="11" t="n">
        <v>11</v>
      </c>
      <c r="F42" s="11" t="n">
        <v>15</v>
      </c>
      <c r="G42" s="11" t="inlineStr">
        <is>
          <t>IC+EM</t>
        </is>
      </c>
      <c r="H42" s="11" t="n">
        <v>6</v>
      </c>
      <c r="I42" s="11" t="inlineStr">
        <is>
          <t>Not started</t>
        </is>
      </c>
      <c r="J42" s="11" t="inlineStr"/>
      <c r="K42" s="11" t="inlineStr">
        <is>
          <t>No</t>
        </is>
      </c>
      <c r="L42" s="11" t="inlineStr">
        <is>
          <t>No</t>
        </is>
      </c>
      <c r="M42" s="11" t="inlineStr">
        <is>
          <t>No</t>
        </is>
      </c>
      <c r="N42" s="11" t="inlineStr"/>
      <c r="O42" s="11" t="inlineStr">
        <is>
          <t>Modules/11-Security-Safety/11-01-OWASP-LLM-Top-10.md</t>
        </is>
      </c>
      <c r="P42" s="12">
        <f>IF(O42="","",IF(Config!$B$6="GitHub",HYPERLINK(Config!$B$5&amp;O42,"Open doc"),HYPERLINK("file://"&amp;Config!$B$4&amp;O42,"Open doc")))</f>
        <v/>
      </c>
      <c r="Q42" s="11" t="inlineStr"/>
      <c r="R42" s="11">
        <f>COUNTIFS(Resources!A:A,"Module",Resources!B:B,A42)</f>
        <v/>
      </c>
    </row>
    <row r="43">
      <c r="A43" s="11" t="inlineStr">
        <is>
          <t>11-02</t>
        </is>
      </c>
      <c r="B43" s="11" t="inlineStr">
        <is>
          <t>11-02 — Prompt Injection Defense: Direct, Indirect, and Production Controls</t>
        </is>
      </c>
      <c r="C43" s="11" t="inlineStr">
        <is>
          <t>11 Security &amp; Safety</t>
        </is>
      </c>
      <c r="D43" s="11" t="inlineStr">
        <is>
          <t>Security Safety</t>
        </is>
      </c>
      <c r="E43" s="11" t="n">
        <v>11</v>
      </c>
      <c r="F43" s="11" t="n">
        <v>15</v>
      </c>
      <c r="G43" s="11" t="inlineStr">
        <is>
          <t>IC+EM</t>
        </is>
      </c>
      <c r="H43" s="11" t="n">
        <v>7</v>
      </c>
      <c r="I43" s="11" t="inlineStr">
        <is>
          <t>Not started</t>
        </is>
      </c>
      <c r="J43" s="11" t="inlineStr"/>
      <c r="K43" s="11" t="inlineStr">
        <is>
          <t>No</t>
        </is>
      </c>
      <c r="L43" s="11" t="inlineStr">
        <is>
          <t>No</t>
        </is>
      </c>
      <c r="M43" s="11" t="inlineStr">
        <is>
          <t>No</t>
        </is>
      </c>
      <c r="N43" s="11" t="inlineStr"/>
      <c r="O43" s="11" t="inlineStr">
        <is>
          <t>Modules/11-Security-Safety/11-02-Prompt-Injection-Defense.md</t>
        </is>
      </c>
      <c r="P43" s="12">
        <f>IF(O43="","",IF(Config!$B$6="GitHub",HYPERLINK(Config!$B$5&amp;O43,"Open doc"),HYPERLINK("file://"&amp;Config!$B$4&amp;O43,"Open doc")))</f>
        <v/>
      </c>
      <c r="Q43" s="11" t="inlineStr"/>
      <c r="R43" s="11">
        <f>COUNTIFS(Resources!A:A,"Module",Resources!B:B,A43)</f>
        <v/>
      </c>
    </row>
    <row r="44">
      <c r="A44" s="11" t="inlineStr">
        <is>
          <t>12-01</t>
        </is>
      </c>
      <c r="B44" s="11" t="inlineStr">
        <is>
          <t>12-01 — Agentic Research Systems: Plan, Tools, Guardrails, Memory, Evals</t>
        </is>
      </c>
      <c r="C44" s="11" t="inlineStr">
        <is>
          <t>12 Advanced Topics</t>
        </is>
      </c>
      <c r="D44" s="11" t="inlineStr">
        <is>
          <t>Advanced Topics</t>
        </is>
      </c>
      <c r="E44" s="11" t="n">
        <v>12</v>
      </c>
      <c r="F44" s="11" t="n">
        <v>15</v>
      </c>
      <c r="G44" s="11" t="inlineStr">
        <is>
          <t>IC</t>
        </is>
      </c>
      <c r="H44" s="11" t="n">
        <v>8</v>
      </c>
      <c r="I44" s="11" t="inlineStr">
        <is>
          <t>Not started</t>
        </is>
      </c>
      <c r="J44" s="11" t="inlineStr"/>
      <c r="K44" s="11" t="inlineStr">
        <is>
          <t>No</t>
        </is>
      </c>
      <c r="L44" s="11" t="inlineStr">
        <is>
          <t>No</t>
        </is>
      </c>
      <c r="M44" s="11" t="inlineStr">
        <is>
          <t>No</t>
        </is>
      </c>
      <c r="N44" s="11" t="inlineStr"/>
      <c r="O44" s="11" t="inlineStr">
        <is>
          <t>Modules/12-Advanced-Topics/12-01-Research-Agents.md</t>
        </is>
      </c>
      <c r="P44" s="12">
        <f>IF(O44="","",IF(Config!$B$6="GitHub",HYPERLINK(Config!$B$5&amp;O44,"Open doc"),HYPERLINK("file://"&amp;Config!$B$4&amp;O44,"Open doc")))</f>
        <v/>
      </c>
      <c r="Q44" s="11" t="inlineStr"/>
      <c r="R44" s="11">
        <f>COUNTIFS(Resources!A:A,"Module",Resources!B:B,A44)</f>
        <v/>
      </c>
    </row>
    <row r="45">
      <c r="A45" s="11" t="inlineStr">
        <is>
          <t>12-02</t>
        </is>
      </c>
      <c r="B45" s="11" t="inlineStr">
        <is>
          <t>12-02 — Text-to-SQL Agents: Schema Retrieval, Safety, Spider-Style Evals</t>
        </is>
      </c>
      <c r="C45" s="11" t="inlineStr">
        <is>
          <t>12 Advanced Topics</t>
        </is>
      </c>
      <c r="D45" s="11" t="inlineStr">
        <is>
          <t>Advanced Topics</t>
        </is>
      </c>
      <c r="E45" s="11" t="n">
        <v>12</v>
      </c>
      <c r="F45" s="11" t="n">
        <v>15</v>
      </c>
      <c r="G45" s="11" t="inlineStr">
        <is>
          <t>IC</t>
        </is>
      </c>
      <c r="H45" s="11" t="n">
        <v>7</v>
      </c>
      <c r="I45" s="11" t="inlineStr">
        <is>
          <t>Not started</t>
        </is>
      </c>
      <c r="J45" s="11" t="inlineStr"/>
      <c r="K45" s="11" t="inlineStr">
        <is>
          <t>No</t>
        </is>
      </c>
      <c r="L45" s="11" t="inlineStr">
        <is>
          <t>No</t>
        </is>
      </c>
      <c r="M45" s="11" t="inlineStr">
        <is>
          <t>No</t>
        </is>
      </c>
      <c r="N45" s="11" t="inlineStr"/>
      <c r="O45" s="11" t="inlineStr">
        <is>
          <t>Modules/12-Advanced-Topics/12-02-Text-to-SQL-Agents.md</t>
        </is>
      </c>
      <c r="P45" s="12">
        <f>IF(O45="","",IF(Config!$B$6="GitHub",HYPERLINK(Config!$B$5&amp;O45,"Open doc"),HYPERLINK("file://"&amp;Config!$B$4&amp;O45,"Open doc")))</f>
        <v/>
      </c>
      <c r="Q45" s="11" t="inlineStr"/>
      <c r="R45" s="11">
        <f>COUNTIFS(Resources!A:A,"Module",Resources!B:B,A45)</f>
        <v/>
      </c>
    </row>
    <row r="46">
      <c r="A46" s="11" t="inlineStr">
        <is>
          <t>12-03</t>
        </is>
      </c>
      <c r="B46" s="11" t="inlineStr">
        <is>
          <t>12-03 — Self-Improving Agents: Generate, Test, Refine in Sandboxes</t>
        </is>
      </c>
      <c r="C46" s="11" t="inlineStr">
        <is>
          <t>12 Advanced Topics</t>
        </is>
      </c>
      <c r="D46" s="11" t="inlineStr">
        <is>
          <t>Advanced Topics</t>
        </is>
      </c>
      <c r="E46" s="11" t="n">
        <v>12</v>
      </c>
      <c r="F46" s="11" t="n">
        <v>16</v>
      </c>
      <c r="G46" s="11" t="inlineStr">
        <is>
          <t>IC</t>
        </is>
      </c>
      <c r="H46" s="11" t="n">
        <v>6</v>
      </c>
      <c r="I46" s="11" t="inlineStr">
        <is>
          <t>Not started</t>
        </is>
      </c>
      <c r="J46" s="11" t="inlineStr"/>
      <c r="K46" s="11" t="inlineStr">
        <is>
          <t>No</t>
        </is>
      </c>
      <c r="L46" s="11" t="inlineStr">
        <is>
          <t>No</t>
        </is>
      </c>
      <c r="M46" s="11" t="inlineStr">
        <is>
          <t>No</t>
        </is>
      </c>
      <c r="N46" s="11" t="inlineStr"/>
      <c r="O46" s="11" t="inlineStr">
        <is>
          <t>Modules/12-Advanced-Topics/12-03-Self-Improving-Agents.md</t>
        </is>
      </c>
      <c r="P46" s="12">
        <f>IF(O46="","",IF(Config!$B$6="GitHub",HYPERLINK(Config!$B$5&amp;O46,"Open doc"),HYPERLINK("file://"&amp;Config!$B$4&amp;O46,"Open doc")))</f>
        <v/>
      </c>
      <c r="Q46" s="11" t="inlineStr"/>
      <c r="R46" s="11">
        <f>COUNTIFS(Resources!A:A,"Module",Resources!B:B,A46)</f>
        <v/>
      </c>
    </row>
    <row r="47">
      <c r="A47" s="11" t="inlineStr">
        <is>
          <t>12-04</t>
        </is>
      </c>
      <c r="B47" s="11" t="inlineStr">
        <is>
          <t>12-04 — DSPy: Programmatic Prompting &amp; Optimization</t>
        </is>
      </c>
      <c r="C47" s="11" t="inlineStr">
        <is>
          <t>12 Advanced Topics</t>
        </is>
      </c>
      <c r="D47" s="11" t="inlineStr">
        <is>
          <t>Advanced Topics</t>
        </is>
      </c>
      <c r="E47" s="11" t="n">
        <v>12</v>
      </c>
      <c r="F47" s="11" t="n">
        <v>16</v>
      </c>
      <c r="G47" s="11" t="inlineStr">
        <is>
          <t>IC</t>
        </is>
      </c>
      <c r="H47" s="11" t="n">
        <v>7</v>
      </c>
      <c r="I47" s="11" t="inlineStr">
        <is>
          <t>Not started</t>
        </is>
      </c>
      <c r="J47" s="11" t="inlineStr"/>
      <c r="K47" s="11" t="inlineStr">
        <is>
          <t>No</t>
        </is>
      </c>
      <c r="L47" s="11" t="inlineStr">
        <is>
          <t>No</t>
        </is>
      </c>
      <c r="M47" s="11" t="inlineStr">
        <is>
          <t>No</t>
        </is>
      </c>
      <c r="N47" s="11" t="inlineStr"/>
      <c r="O47" s="11" t="inlineStr">
        <is>
          <t>Modules/12-Advanced-Topics/12-04-DSPy-Programmatic-Prompting.md</t>
        </is>
      </c>
      <c r="P47" s="12">
        <f>IF(O47="","",IF(Config!$B$6="GitHub",HYPERLINK(Config!$B$5&amp;O47,"Open doc"),HYPERLINK("file://"&amp;Config!$B$4&amp;O47,"Open doc")))</f>
        <v/>
      </c>
      <c r="Q47" s="11" t="inlineStr"/>
      <c r="R47" s="11">
        <f>COUNTIFS(Resources!A:A,"Module",Resources!B:B,A47)</f>
        <v/>
      </c>
    </row>
    <row r="48">
      <c r="A48" s="11" t="inlineStr">
        <is>
          <t>12-05</t>
        </is>
      </c>
      <c r="B48" s="11" t="inlineStr">
        <is>
          <t>12-05 — AI Coding Agents (Codex, Claude Code, Cursor)</t>
        </is>
      </c>
      <c r="C48" s="11" t="inlineStr">
        <is>
          <t>12 Advanced Topics</t>
        </is>
      </c>
      <c r="D48" s="11" t="inlineStr">
        <is>
          <t>Advanced Topics</t>
        </is>
      </c>
      <c r="E48" s="11" t="n">
        <v>12</v>
      </c>
      <c r="F48" s="11" t="n">
        <v>16</v>
      </c>
      <c r="G48" s="11" t="inlineStr">
        <is>
          <t>IC</t>
        </is>
      </c>
      <c r="H48" s="11" t="n">
        <v>7</v>
      </c>
      <c r="I48" s="11" t="inlineStr">
        <is>
          <t>Not started</t>
        </is>
      </c>
      <c r="J48" s="11" t="inlineStr"/>
      <c r="K48" s="11" t="inlineStr">
        <is>
          <t>No</t>
        </is>
      </c>
      <c r="L48" s="11" t="inlineStr">
        <is>
          <t>No</t>
        </is>
      </c>
      <c r="M48" s="11" t="inlineStr">
        <is>
          <t>No</t>
        </is>
      </c>
      <c r="N48" s="11" t="inlineStr"/>
      <c r="O48" s="11" t="inlineStr">
        <is>
          <t>Modules/12-Advanced-Topics/12-05-AI-Coding-Agents.md</t>
        </is>
      </c>
      <c r="P48" s="12">
        <f>IF(O48="","",IF(Config!$B$6="GitHub",HYPERLINK(Config!$B$5&amp;O48,"Open doc"),HYPERLINK("file://"&amp;Config!$B$4&amp;O48,"Open doc")))</f>
        <v/>
      </c>
      <c r="Q48" s="11" t="inlineStr"/>
      <c r="R48" s="11">
        <f>COUNTIFS(Resources!A:A,"Module",Resources!B:B,A48)</f>
        <v/>
      </c>
    </row>
    <row r="49">
      <c r="A49" s="11" t="inlineStr">
        <is>
          <t>12-06</t>
        </is>
      </c>
      <c r="B49" s="11" t="inlineStr">
        <is>
          <t>12-06 — AI Product Thinking</t>
        </is>
      </c>
      <c r="C49" s="11" t="inlineStr">
        <is>
          <t>12 Advanced Topics</t>
        </is>
      </c>
      <c r="D49" s="11" t="inlineStr">
        <is>
          <t>Advanced Topics</t>
        </is>
      </c>
      <c r="E49" s="11" t="n">
        <v>12</v>
      </c>
      <c r="F49" s="11" t="n">
        <v>16</v>
      </c>
      <c r="G49" s="11" t="inlineStr">
        <is>
          <t>IC</t>
        </is>
      </c>
      <c r="H49" s="11" t="n">
        <v>6</v>
      </c>
      <c r="I49" s="11" t="inlineStr">
        <is>
          <t>Not started</t>
        </is>
      </c>
      <c r="J49" s="11" t="inlineStr"/>
      <c r="K49" s="11" t="inlineStr">
        <is>
          <t>No</t>
        </is>
      </c>
      <c r="L49" s="11" t="inlineStr">
        <is>
          <t>No</t>
        </is>
      </c>
      <c r="M49" s="11" t="inlineStr">
        <is>
          <t>No</t>
        </is>
      </c>
      <c r="N49" s="11" t="inlineStr"/>
      <c r="O49" s="11" t="inlineStr">
        <is>
          <t>Modules/12-Advanced-Topics/12-06-AI-Product-Thinking.md</t>
        </is>
      </c>
      <c r="P49" s="12">
        <f>IF(O49="","",IF(Config!$B$6="GitHub",HYPERLINK(Config!$B$5&amp;O49,"Open doc"),HYPERLINK("file://"&amp;Config!$B$4&amp;O49,"Open doc")))</f>
        <v/>
      </c>
      <c r="Q49" s="11" t="inlineStr"/>
      <c r="R49" s="11">
        <f>COUNTIFS(Resources!A:A,"Module",Resources!B:B,A49)</f>
        <v/>
      </c>
    </row>
  </sheetData>
  <autoFilter ref="A1:R49"/>
  <conditionalFormatting sqref="I2:I49">
    <cfRule type="expression" priority="1" dxfId="0">
      <formula>$I2="Done"</formula>
    </cfRule>
    <cfRule type="expression" priority="2" dxfId="1">
      <formula>$I2="In progress"</formula>
    </cfRule>
    <cfRule type="expression" priority="3" dxfId="2">
      <formula>$I2="Interview-ready"</formula>
    </cfRule>
    <cfRule type="expression" priority="4" dxfId="3">
      <formula>$I2="Not started"</formula>
    </cfRule>
  </conditionalFormatting>
  <dataValidations count="4">
    <dataValidation sqref="I2:I49" showDropDown="0" showInputMessage="0" showErrorMessage="0" allowBlank="1" type="list">
      <formula1>"Not started,In progress,Done,Interview-ready"</formula1>
    </dataValidation>
    <dataValidation sqref="K2:K49" showDropDown="0" showInputMessage="0" showErrorMessage="0" allowBlank="1" type="list">
      <formula1>"Yes,No"</formula1>
    </dataValidation>
    <dataValidation sqref="L2:L49" showDropDown="0" showInputMessage="0" showErrorMessage="0" allowBlank="1" type="list">
      <formula1>"Yes,No"</formula1>
    </dataValidation>
    <dataValidation sqref="M2:M4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6" customWidth="1" min="4" max="4"/>
    <col width="42" customWidth="1" min="5" max="5"/>
    <col width="45" customWidth="1" min="6" max="6"/>
    <col width="12" customWidth="1" min="7" max="7"/>
    <col width="16" customWidth="1" min="8" max="8"/>
    <col width="14" customWidth="1" min="9" max="9"/>
    <col width="12" customWidth="1" min="10" max="10"/>
    <col width="36" customWidth="1" min="11" max="11"/>
    <col width="32" customWidth="1" min="12" max="12"/>
    <col width="40" customWidth="1" min="13" max="13"/>
    <col width="8" customWidth="1" min="14" max="14"/>
    <col width="20" customWidth="1" min="15" max="15"/>
  </cols>
  <sheetData>
    <row r="1">
      <c r="A1" s="9" t="inlineStr">
        <is>
          <t>Item Type</t>
        </is>
      </c>
      <c r="B1" s="9" t="inlineStr">
        <is>
          <t>Item ID</t>
        </is>
      </c>
      <c r="C1" s="9" t="inlineStr">
        <is>
          <t>Group</t>
        </is>
      </c>
      <c r="D1" s="9" t="inlineStr">
        <is>
          <t>Res #</t>
        </is>
      </c>
      <c r="E1" s="9" t="inlineStr">
        <is>
          <t>Title</t>
        </is>
      </c>
      <c r="F1" s="9" t="inlineStr">
        <is>
          <t>URL</t>
        </is>
      </c>
      <c r="G1" s="9" t="inlineStr">
        <is>
          <t>Open Resource</t>
        </is>
      </c>
      <c r="H1" s="9" t="inlineStr">
        <is>
          <t>Open Parent Doc</t>
        </is>
      </c>
      <c r="I1" s="9" t="inlineStr">
        <is>
          <t>Difficulty</t>
        </is>
      </c>
      <c r="J1" s="9" t="inlineStr">
        <is>
          <t>Reading Time</t>
        </is>
      </c>
      <c r="K1" s="9" t="inlineStr">
        <is>
          <t>Why Read</t>
        </is>
      </c>
      <c r="L1" s="9" t="inlineStr">
        <is>
          <t>Important Sections</t>
        </is>
      </c>
      <c r="M1" s="9" t="inlineStr">
        <is>
          <t>Source File</t>
        </is>
      </c>
      <c r="N1" s="9" t="inlineStr">
        <is>
          <t>Done?</t>
        </is>
      </c>
      <c r="O1" s="9" t="inlineStr">
        <is>
          <t>Notes</t>
        </is>
      </c>
    </row>
    <row r="2">
      <c r="A2" s="11" t="inlineStr">
        <is>
          <t>Module</t>
        </is>
      </c>
      <c r="B2" s="11" t="inlineStr">
        <is>
          <t>00-01</t>
        </is>
      </c>
      <c r="C2" s="11" t="inlineStr">
        <is>
          <t>00-Foundations</t>
        </is>
      </c>
      <c r="D2" s="11" t="n">
        <v>1</v>
      </c>
      <c r="E2" s="11" t="inlineStr">
        <is>
          <t>OpenAI — Text generation / chat concepts</t>
        </is>
      </c>
      <c r="F2" s="12" t="inlineStr">
        <is>
          <t>https://platform.openai.com/docs/guides/text</t>
        </is>
      </c>
      <c r="G2" s="12">
        <f>IF(F2="","",HYPERLINK(F2,"Open link"))</f>
        <v/>
      </c>
      <c r="H2" s="12">
        <f>IF(M2="","",IF(Config!$B$6="GitHub",HYPERLINK(Config!$B$5&amp;M2,"Open parent doc"),HYPERLINK("file://"&amp;Config!$B$4&amp;M2,"Open parent doc")))</f>
        <v/>
      </c>
      <c r="I2" s="11" t="inlineStr">
        <is>
          <t>Intro</t>
        </is>
      </c>
      <c r="J2" s="11" t="inlineStr">
        <is>
          <t>20–30 min</t>
        </is>
      </c>
      <c r="K2" s="11" t="inlineStr">
        <is>
          <t>Solidify messages, models, tokens</t>
        </is>
      </c>
      <c r="L2" s="11" t="inlineStr">
        <is>
          <t>Messages; models; token basics</t>
        </is>
      </c>
      <c r="M2" s="11" t="inlineStr">
        <is>
          <t>Modules/00-Foundations/00-01-GenAI-From-Scratch.md</t>
        </is>
      </c>
      <c r="N2" s="11" t="inlineStr">
        <is>
          <t>No</t>
        </is>
      </c>
      <c r="O2" s="11" t="inlineStr"/>
    </row>
    <row r="3">
      <c r="A3" s="11" t="inlineStr">
        <is>
          <t>Module</t>
        </is>
      </c>
      <c r="B3" s="11" t="inlineStr">
        <is>
          <t>00-01</t>
        </is>
      </c>
      <c r="C3" s="11" t="inlineStr">
        <is>
          <t>00-Foundations</t>
        </is>
      </c>
      <c r="D3" s="11" t="n">
        <v>2</v>
      </c>
      <c r="E3" s="11" t="inlineStr">
        <is>
          <t>Anthropic — Claude overview</t>
        </is>
      </c>
      <c r="F3" s="12" t="inlineStr">
        <is>
          <t>https://docs.anthropic.com/en/docs/welcome</t>
        </is>
      </c>
      <c r="G3" s="12">
        <f>IF(F3="","",HYPERLINK(F3,"Open link"))</f>
        <v/>
      </c>
      <c r="H3" s="12">
        <f>IF(M3="","",IF(Config!$B$6="GitHub",HYPERLINK(Config!$B$5&amp;M3,"Open parent doc"),HYPERLINK("file://"&amp;Config!$B$4&amp;M3,"Open parent doc")))</f>
        <v/>
      </c>
      <c r="I3" s="11" t="inlineStr">
        <is>
          <t>Intro</t>
        </is>
      </c>
      <c r="J3" s="11" t="inlineStr">
        <is>
          <t>20 min</t>
        </is>
      </c>
      <c r="K3" s="11" t="inlineStr">
        <is>
          <t>Second provider vocabulary</t>
        </is>
      </c>
      <c r="L3" s="11" t="inlineStr">
        <is>
          <t>Messages API mental model</t>
        </is>
      </c>
      <c r="M3" s="11" t="inlineStr">
        <is>
          <t>Modules/00-Foundations/00-01-GenAI-From-Scratch.md</t>
        </is>
      </c>
      <c r="N3" s="11" t="inlineStr">
        <is>
          <t>No</t>
        </is>
      </c>
      <c r="O3" s="11" t="inlineStr"/>
    </row>
    <row r="4">
      <c r="A4" s="11" t="inlineStr">
        <is>
          <t>Module</t>
        </is>
      </c>
      <c r="B4" s="11" t="inlineStr">
        <is>
          <t>00-01</t>
        </is>
      </c>
      <c r="C4" s="11" t="inlineStr">
        <is>
          <t>00-Foundations</t>
        </is>
      </c>
      <c r="D4" s="11" t="n">
        <v>3</v>
      </c>
      <c r="E4" s="11" t="inlineStr">
        <is>
          <t>Google — Gemini API quickstart</t>
        </is>
      </c>
      <c r="F4" s="12" t="inlineStr">
        <is>
          <t>https://ai.google.dev/gemini-api/docs/quickstart</t>
        </is>
      </c>
      <c r="G4" s="12">
        <f>IF(F4="","",HYPERLINK(F4,"Open link"))</f>
        <v/>
      </c>
      <c r="H4" s="12">
        <f>IF(M4="","",IF(Config!$B$6="GitHub",HYPERLINK(Config!$B$5&amp;M4,"Open parent doc"),HYPERLINK("file://"&amp;Config!$B$4&amp;M4,"Open parent doc")))</f>
        <v/>
      </c>
      <c r="I4" s="11" t="inlineStr">
        <is>
          <t>Intro</t>
        </is>
      </c>
      <c r="J4" s="11" t="inlineStr">
        <is>
          <t>20 min</t>
        </is>
      </c>
      <c r="K4" s="11" t="inlineStr">
        <is>
          <t>Multi-provider habit early</t>
        </is>
      </c>
      <c r="L4" s="11" t="inlineStr">
        <is>
          <t>First request</t>
        </is>
      </c>
      <c r="M4" s="11" t="inlineStr">
        <is>
          <t>Modules/00-Foundations/00-01-GenAI-From-Scratch.md</t>
        </is>
      </c>
      <c r="N4" s="11" t="inlineStr">
        <is>
          <t>No</t>
        </is>
      </c>
      <c r="O4" s="11" t="inlineStr"/>
    </row>
    <row r="5">
      <c r="A5" s="11" t="inlineStr">
        <is>
          <t>Module</t>
        </is>
      </c>
      <c r="B5" s="11" t="inlineStr">
        <is>
          <t>00-01</t>
        </is>
      </c>
      <c r="C5" s="11" t="inlineStr">
        <is>
          <t>00-Foundations</t>
        </is>
      </c>
      <c r="D5" s="11" t="n">
        <v>4</v>
      </c>
      <c r="E5" s="11" t="inlineStr">
        <is>
          <t>DeepSeek API docs</t>
        </is>
      </c>
      <c r="F5" s="12" t="inlineStr">
        <is>
          <t>https://api-docs.deepseek.com/</t>
        </is>
      </c>
      <c r="G5" s="12">
        <f>IF(F5="","",HYPERLINK(F5,"Open link"))</f>
        <v/>
      </c>
      <c r="H5" s="12">
        <f>IF(M5="","",IF(Config!$B$6="GitHub",HYPERLINK(Config!$B$5&amp;M5,"Open parent doc"),HYPERLINK("file://"&amp;Config!$B$4&amp;M5,"Open parent doc")))</f>
        <v/>
      </c>
      <c r="I5" s="11" t="inlineStr">
        <is>
          <t>Intro</t>
        </is>
      </c>
      <c r="J5" s="11" t="inlineStr">
        <is>
          <t>15 min</t>
        </is>
      </c>
      <c r="K5" s="11" t="inlineStr">
        <is>
          <t>Cost-efficient OpenAI-compatible option</t>
        </is>
      </c>
      <c r="L5" s="11" t="inlineStr">
        <is>
          <t>First chat call</t>
        </is>
      </c>
      <c r="M5" s="11" t="inlineStr">
        <is>
          <t>Modules/00-Foundations/00-01-GenAI-From-Scratch.md</t>
        </is>
      </c>
      <c r="N5" s="11" t="inlineStr">
        <is>
          <t>No</t>
        </is>
      </c>
      <c r="O5" s="11" t="inlineStr"/>
    </row>
    <row r="6">
      <c r="A6" s="11" t="inlineStr">
        <is>
          <t>Module</t>
        </is>
      </c>
      <c r="B6" s="11" t="inlineStr">
        <is>
          <t>00-01</t>
        </is>
      </c>
      <c r="C6" s="11" t="inlineStr">
        <is>
          <t>00-Foundations</t>
        </is>
      </c>
      <c r="D6" s="11" t="n">
        <v>5</v>
      </c>
      <c r="E6" s="11" t="inlineStr">
        <is>
          <t>OpenAI Prompt Engineering Guide</t>
        </is>
      </c>
      <c r="F6" s="12" t="inlineStr">
        <is>
          <t>https://developers.openai.com/api/docs/guides/prompt-engineering</t>
        </is>
      </c>
      <c r="G6" s="12">
        <f>IF(F6="","",HYPERLINK(F6,"Open link"))</f>
        <v/>
      </c>
      <c r="H6" s="12">
        <f>IF(M6="","",IF(Config!$B$6="GitHub",HYPERLINK(Config!$B$5&amp;M6,"Open parent doc"),HYPERLINK("file://"&amp;Config!$B$4&amp;M6,"Open parent doc")))</f>
        <v/>
      </c>
      <c r="I6" s="11" t="inlineStr">
        <is>
          <t>Intro</t>
        </is>
      </c>
      <c r="J6" s="11" t="inlineStr">
        <is>
          <t>45 min</t>
        </is>
      </c>
      <c r="K6" s="11" t="inlineStr">
        <is>
          <t>Prompts as clear instructions</t>
        </is>
      </c>
      <c r="L6" s="11" t="inlineStr">
        <is>
          <t>Tactics; iteration</t>
        </is>
      </c>
      <c r="M6" s="11" t="inlineStr">
        <is>
          <t>Modules/00-Foundations/00-01-GenAI-From-Scratch.md</t>
        </is>
      </c>
      <c r="N6" s="11" t="inlineStr">
        <is>
          <t>No</t>
        </is>
      </c>
      <c r="O6" s="11" t="inlineStr"/>
    </row>
    <row r="7">
      <c r="A7" s="11" t="inlineStr">
        <is>
          <t>Module</t>
        </is>
      </c>
      <c r="B7" s="11" t="inlineStr">
        <is>
          <t>00-01</t>
        </is>
      </c>
      <c r="C7" s="11" t="inlineStr">
        <is>
          <t>00-Foundations</t>
        </is>
      </c>
      <c r="D7" s="11" t="n">
        <v>6</v>
      </c>
      <c r="E7" s="11" t="inlineStr">
        <is>
          <t>Chip Huyen — *AI Engineering* (book)</t>
        </is>
      </c>
      <c r="F7" s="12" t="inlineStr">
        <is>
          <t>https://www.oreilly.com/library/view/ai-engineering/9781098166298/</t>
        </is>
      </c>
      <c r="G7" s="12">
        <f>IF(F7="","",HYPERLINK(F7,"Open link"))</f>
        <v/>
      </c>
      <c r="H7" s="12">
        <f>IF(M7="","",IF(Config!$B$6="GitHub",HYPERLINK(Config!$B$5&amp;M7,"Open parent doc"),HYPERLINK("file://"&amp;Config!$B$4&amp;M7,"Open parent doc")))</f>
        <v/>
      </c>
      <c r="I7" s="11" t="inlineStr">
        <is>
          <t>Intermediate</t>
        </is>
      </c>
      <c r="J7" s="11" t="inlineStr">
        <is>
          <t>ongoing</t>
        </is>
      </c>
      <c r="K7" s="11" t="inlineStr">
        <is>
          <t>Bridge from ideas to production later</t>
        </is>
      </c>
      <c r="L7" s="11" t="inlineStr">
        <is>
          <t>Early chapters on AI eng vs ML eng</t>
        </is>
      </c>
      <c r="M7" s="11" t="inlineStr">
        <is>
          <t>Modules/00-Foundations/00-01-GenAI-From-Scratch.md</t>
        </is>
      </c>
      <c r="N7" s="11" t="inlineStr">
        <is>
          <t>No</t>
        </is>
      </c>
      <c r="O7" s="11" t="inlineStr"/>
    </row>
    <row r="8">
      <c r="A8" s="11" t="inlineStr">
        <is>
          <t>Module</t>
        </is>
      </c>
      <c r="B8" s="11" t="inlineStr">
        <is>
          <t>00-01</t>
        </is>
      </c>
      <c r="C8" s="11" t="inlineStr">
        <is>
          <t>00-Foundations</t>
        </is>
      </c>
      <c r="D8" s="11" t="n">
        <v>7</v>
      </c>
      <c r="E8" s="11" t="inlineStr">
        <is>
          <t>Karpathy — Intro to LLMs (talk)</t>
        </is>
      </c>
      <c r="F8" s="12" t="inlineStr">
        <is>
          <t>https://www.youtube.com/watch?v=zjkBMFhNj_g</t>
        </is>
      </c>
      <c r="G8" s="12">
        <f>IF(F8="","",HYPERLINK(F8,"Open link"))</f>
        <v/>
      </c>
      <c r="H8" s="12">
        <f>IF(M8="","",IF(Config!$B$6="GitHub",HYPERLINK(Config!$B$5&amp;M8,"Open parent doc"),HYPERLINK("file://"&amp;Config!$B$4&amp;M8,"Open parent doc")))</f>
        <v/>
      </c>
      <c r="I8" s="11" t="inlineStr">
        <is>
          <t>Intro</t>
        </is>
      </c>
      <c r="J8" s="11" t="inlineStr">
        <is>
          <t>60 min</t>
        </is>
      </c>
      <c r="K8" s="11" t="inlineStr">
        <is>
          <t>Intuition without heavy math</t>
        </is>
      </c>
      <c r="L8" s="11" t="inlineStr">
        <is>
          <t>Whole talk once</t>
        </is>
      </c>
      <c r="M8" s="11" t="inlineStr">
        <is>
          <t>Modules/00-Foundations/00-01-GenAI-From-Scratch.md</t>
        </is>
      </c>
      <c r="N8" s="11" t="inlineStr">
        <is>
          <t>No</t>
        </is>
      </c>
      <c r="O8" s="11" t="inlineStr"/>
    </row>
    <row r="9">
      <c r="A9" s="11" t="inlineStr">
        <is>
          <t>Module</t>
        </is>
      </c>
      <c r="B9" s="11" t="inlineStr">
        <is>
          <t>00-04</t>
        </is>
      </c>
      <c r="C9" s="11" t="inlineStr">
        <is>
          <t>00-Foundations</t>
        </is>
      </c>
      <c r="D9" s="11" t="n">
        <v>1</v>
      </c>
      <c r="E9" s="11" t="inlineStr">
        <is>
          <t>Attention Is All You Need (Transformers)</t>
        </is>
      </c>
      <c r="F9" s="12" t="inlineStr">
        <is>
          <t>https://arxiv.org/abs/1706.03762</t>
        </is>
      </c>
      <c r="G9" s="12">
        <f>IF(F9="","",HYPERLINK(F9,"Open link"))</f>
        <v/>
      </c>
      <c r="H9" s="12">
        <f>IF(M9="","",IF(Config!$B$6="GitHub",HYPERLINK(Config!$B$5&amp;M9,"Open parent doc"),HYPERLINK("file://"&amp;Config!$B$4&amp;M9,"Open parent doc")))</f>
        <v/>
      </c>
      <c r="I9" s="11" t="inlineStr">
        <is>
          <t>Advanced</t>
        </is>
      </c>
      <c r="J9" s="11" t="inlineStr">
        <is>
          <t>60–90 min</t>
        </is>
      </c>
      <c r="K9" s="11" t="inlineStr">
        <is>
          <t>Foundational architecture behind all modern LLMs; shared vocabulary for encoder/decoder and attention</t>
        </is>
      </c>
      <c r="L9" s="11" t="inlineStr">
        <is>
          <t>§3 Model Architecture; §3.2 Attention; Figure 1</t>
        </is>
      </c>
      <c r="M9" s="11" t="inlineStr">
        <is>
          <t>Modules/00-Foundations/00-04-From-Rules-to-Agents.md</t>
        </is>
      </c>
      <c r="N9" s="11" t="inlineStr">
        <is>
          <t>No</t>
        </is>
      </c>
      <c r="O9" s="11" t="inlineStr"/>
    </row>
    <row r="10">
      <c r="A10" s="11" t="inlineStr">
        <is>
          <t>Module</t>
        </is>
      </c>
      <c r="B10" s="11" t="inlineStr">
        <is>
          <t>00-04</t>
        </is>
      </c>
      <c r="C10" s="11" t="inlineStr">
        <is>
          <t>00-Foundations</t>
        </is>
      </c>
      <c r="D10" s="11" t="n">
        <v>2</v>
      </c>
      <c r="E10" s="11" t="inlineStr">
        <is>
          <t>ReAct: Synergizing Reasoning and Acting in Language Models</t>
        </is>
      </c>
      <c r="F10" s="12" t="inlineStr">
        <is>
          <t>https://arxiv.org/abs/2210.03629</t>
        </is>
      </c>
      <c r="G10" s="12">
        <f>IF(F10="","",HYPERLINK(F10,"Open link"))</f>
        <v/>
      </c>
      <c r="H10" s="12">
        <f>IF(M10="","",IF(Config!$B$6="GitHub",HYPERLINK(Config!$B$5&amp;M10,"Open parent doc"),HYPERLINK("file://"&amp;Config!$B$4&amp;M10,"Open parent doc")))</f>
        <v/>
      </c>
      <c r="I10" s="11" t="inlineStr">
        <is>
          <t>Intermediate</t>
        </is>
      </c>
      <c r="J10" s="11" t="inlineStr">
        <is>
          <t>45–60 min</t>
        </is>
      </c>
      <c r="K10" s="11" t="inlineStr">
        <is>
          <t>Research basis for Think → Act → Observe agent loops</t>
        </is>
      </c>
      <c r="L10" s="11" t="inlineStr">
        <is>
          <t>§1 Introduction; §3 ReAct Prompting; Figures 1–3</t>
        </is>
      </c>
      <c r="M10" s="11" t="inlineStr">
        <is>
          <t>Modules/00-Foundations/00-04-From-Rules-to-Agents.md</t>
        </is>
      </c>
      <c r="N10" s="11" t="inlineStr">
        <is>
          <t>No</t>
        </is>
      </c>
      <c r="O10" s="11" t="inlineStr"/>
    </row>
    <row r="11">
      <c r="A11" s="11" t="inlineStr">
        <is>
          <t>Module</t>
        </is>
      </c>
      <c r="B11" s="11" t="inlineStr">
        <is>
          <t>00-04</t>
        </is>
      </c>
      <c r="C11" s="11" t="inlineStr">
        <is>
          <t>00-Foundations</t>
        </is>
      </c>
      <c r="D11" s="11" t="n">
        <v>3</v>
      </c>
      <c r="E11" s="11" t="inlineStr">
        <is>
          <t>OpenAI Prompt Engineering Guide</t>
        </is>
      </c>
      <c r="F11" s="12" t="inlineStr">
        <is>
          <t>https://developers.openai.com/api/docs/guides/prompt-engineering</t>
        </is>
      </c>
      <c r="G11" s="12">
        <f>IF(F11="","",HYPERLINK(F11,"Open link"))</f>
        <v/>
      </c>
      <c r="H11" s="12">
        <f>IF(M11="","",IF(Config!$B$6="GitHub",HYPERLINK(Config!$B$5&amp;M11,"Open parent doc"),HYPERLINK("file://"&amp;Config!$B$4&amp;M11,"Open parent doc")))</f>
        <v/>
      </c>
      <c r="I11" s="11" t="inlineStr">
        <is>
          <t>Intro–Intermediate</t>
        </is>
      </c>
      <c r="J11" s="11" t="inlineStr">
        <is>
          <t>45 min</t>
        </is>
      </c>
      <c r="K11" s="11" t="inlineStr">
        <is>
          <t>Official tactics for reliable prompts as API contracts</t>
        </is>
      </c>
      <c r="L11" s="11" t="inlineStr">
        <is>
          <t>Message roles; clear instructions; iterative development</t>
        </is>
      </c>
      <c r="M11" s="11" t="inlineStr">
        <is>
          <t>Modules/00-Foundations/00-04-From-Rules-to-Agents.md</t>
        </is>
      </c>
      <c r="N11" s="11" t="inlineStr">
        <is>
          <t>No</t>
        </is>
      </c>
      <c r="O11" s="11" t="inlineStr"/>
    </row>
    <row r="12">
      <c r="A12" s="11" t="inlineStr">
        <is>
          <t>Module</t>
        </is>
      </c>
      <c r="B12" s="11" t="inlineStr">
        <is>
          <t>00-04</t>
        </is>
      </c>
      <c r="C12" s="11" t="inlineStr">
        <is>
          <t>00-Foundations</t>
        </is>
      </c>
      <c r="D12" s="11" t="n">
        <v>4</v>
      </c>
      <c r="E12" s="11" t="inlineStr">
        <is>
          <t>LangGraph High-Level Concepts</t>
        </is>
      </c>
      <c r="F12" s="12" t="inlineStr">
        <is>
          <t>https://langchain-ai.github.io/langgraph/concepts/high_level/</t>
        </is>
      </c>
      <c r="G12" s="12">
        <f>IF(F12="","",HYPERLINK(F12,"Open link"))</f>
        <v/>
      </c>
      <c r="H12" s="12">
        <f>IF(M12="","",IF(Config!$B$6="GitHub",HYPERLINK(Config!$B$5&amp;M12,"Open parent doc"),HYPERLINK("file://"&amp;Config!$B$4&amp;M12,"Open parent doc")))</f>
        <v/>
      </c>
      <c r="I12" s="11" t="inlineStr">
        <is>
          <t>Intermediate</t>
        </is>
      </c>
      <c r="J12" s="11" t="inlineStr">
        <is>
          <t>25–35 min</t>
        </is>
      </c>
      <c r="K12" s="11" t="inlineStr">
        <is>
          <t>Production agent runtime: persistence, HITL, state graphs</t>
        </is>
      </c>
      <c r="L12" s="11" t="inlineStr">
        <is>
          <t>Core benefits; persistence/checkpointing; when to use LangGraph</t>
        </is>
      </c>
      <c r="M12" s="11" t="inlineStr">
        <is>
          <t>Modules/00-Foundations/00-04-From-Rules-to-Agents.md</t>
        </is>
      </c>
      <c r="N12" s="11" t="inlineStr">
        <is>
          <t>No</t>
        </is>
      </c>
      <c r="O12" s="11" t="inlineStr"/>
    </row>
    <row r="13">
      <c r="A13" s="11" t="inlineStr">
        <is>
          <t>Module</t>
        </is>
      </c>
      <c r="B13" s="11" t="inlineStr">
        <is>
          <t>00-04</t>
        </is>
      </c>
      <c r="C13" s="11" t="inlineStr">
        <is>
          <t>00-Foundations</t>
        </is>
      </c>
      <c r="D13" s="11" t="n">
        <v>5</v>
      </c>
      <c r="E13" s="11" t="inlineStr">
        <is>
          <t>Build with Claude (Anthropic Platform Overview)</t>
        </is>
      </c>
      <c r="F13" s="12" t="inlineStr">
        <is>
          <t>https://platform.claude.com/docs/en/docs/build-with-claude/overview</t>
        </is>
      </c>
      <c r="G13" s="12">
        <f>IF(F13="","",HYPERLINK(F13,"Open link"))</f>
        <v/>
      </c>
      <c r="H13" s="12">
        <f>IF(M13="","",IF(Config!$B$6="GitHub",HYPERLINK(Config!$B$5&amp;M13,"Open parent doc"),HYPERLINK("file://"&amp;Config!$B$4&amp;M13,"Open parent doc")))</f>
        <v/>
      </c>
      <c r="I13" s="11" t="inlineStr">
        <is>
          <t>Intro–Intermediate</t>
        </is>
      </c>
      <c r="J13" s="11" t="inlineStr">
        <is>
          <t>30–45 min</t>
        </is>
      </c>
      <c r="K13" s="11" t="inlineStr">
        <is>
          <t>Provider comparison mindset; tool use and production constraints from a second major API</t>
        </is>
      </c>
      <c r="L13" s="11" t="inlineStr">
        <is>
          <t>Overview; tool use; messages API patterns</t>
        </is>
      </c>
      <c r="M13" s="11" t="inlineStr">
        <is>
          <t>Modules/00-Foundations/00-04-From-Rules-to-Agents.md</t>
        </is>
      </c>
      <c r="N13" s="11" t="inlineStr">
        <is>
          <t>No</t>
        </is>
      </c>
      <c r="O13" s="11" t="inlineStr"/>
    </row>
    <row r="14">
      <c r="A14" s="11" t="inlineStr">
        <is>
          <t>Module</t>
        </is>
      </c>
      <c r="B14" s="11" t="inlineStr">
        <is>
          <t>00-06</t>
        </is>
      </c>
      <c r="C14" s="11" t="inlineStr">
        <is>
          <t>00-Foundations</t>
        </is>
      </c>
      <c r="D14" s="11" t="n">
        <v>1</v>
      </c>
      <c r="E14" s="11" t="inlineStr">
        <is>
          <t>FastAPI Documentation</t>
        </is>
      </c>
      <c r="F14" s="12" t="inlineStr">
        <is>
          <t>https://fastapi.tiangolo.com/</t>
        </is>
      </c>
      <c r="G14" s="12">
        <f>IF(F14="","",HYPERLINK(F14,"Open link"))</f>
        <v/>
      </c>
      <c r="H14" s="12">
        <f>IF(M14="","",IF(Config!$B$6="GitHub",HYPERLINK(Config!$B$5&amp;M14,"Open parent doc"),HYPERLINK("file://"&amp;Config!$B$4&amp;M14,"Open parent doc")))</f>
        <v/>
      </c>
      <c r="I14" s="11" t="inlineStr">
        <is>
          <t>Intro</t>
        </is>
      </c>
      <c r="J14" s="11" t="inlineStr">
        <is>
          <t>45 min</t>
        </is>
      </c>
      <c r="K14" s="11" t="inlineStr">
        <is>
          <t>API layer for decision support</t>
        </is>
      </c>
      <c r="L14" s="11" t="inlineStr">
        <is>
          <t>Tutorial; dependency injection; file uploads</t>
        </is>
      </c>
      <c r="M14" s="11" t="inlineStr">
        <is>
          <t>Modules/00-Foundations/00-06-BankCo-Decision-Support-Warmup.md</t>
        </is>
      </c>
      <c r="N14" s="11" t="inlineStr">
        <is>
          <t>No</t>
        </is>
      </c>
      <c r="O14" s="11" t="inlineStr"/>
    </row>
    <row r="15">
      <c r="A15" s="11" t="inlineStr">
        <is>
          <t>Module</t>
        </is>
      </c>
      <c r="B15" s="11" t="inlineStr">
        <is>
          <t>00-06</t>
        </is>
      </c>
      <c r="C15" s="11" t="inlineStr">
        <is>
          <t>00-Foundations</t>
        </is>
      </c>
      <c r="D15" s="11" t="n">
        <v>2</v>
      </c>
      <c r="E15" s="11" t="inlineStr">
        <is>
          <t>Pydantic Documentation</t>
        </is>
      </c>
      <c r="F15" s="12" t="inlineStr">
        <is>
          <t>https://docs.pydantic.dev/latest/</t>
        </is>
      </c>
      <c r="G15" s="12">
        <f>IF(F15="","",HYPERLINK(F15,"Open link"))</f>
        <v/>
      </c>
      <c r="H15" s="12">
        <f>IF(M15="","",IF(Config!$B$6="GitHub",HYPERLINK(Config!$B$5&amp;M15,"Open parent doc"),HYPERLINK("file://"&amp;Config!$B$4&amp;M15,"Open parent doc")))</f>
        <v/>
      </c>
      <c r="I15" s="11" t="inlineStr">
        <is>
          <t>Intro</t>
        </is>
      </c>
      <c r="J15" s="11" t="inlineStr">
        <is>
          <t>45 min</t>
        </is>
      </c>
      <c r="K15" s="11" t="inlineStr">
        <is>
          <t>Spreadsheet row validation</t>
        </is>
      </c>
      <c r="L15" s="11" t="inlineStr">
        <is>
          <t>Models; validators; JSON schema</t>
        </is>
      </c>
      <c r="M15" s="11" t="inlineStr">
        <is>
          <t>Modules/00-Foundations/00-06-BankCo-Decision-Support-Warmup.md</t>
        </is>
      </c>
      <c r="N15" s="11" t="inlineStr">
        <is>
          <t>No</t>
        </is>
      </c>
      <c r="O15" s="11" t="inlineStr"/>
    </row>
    <row r="16">
      <c r="A16" s="11" t="inlineStr">
        <is>
          <t>Module</t>
        </is>
      </c>
      <c r="B16" s="11" t="inlineStr">
        <is>
          <t>00-06</t>
        </is>
      </c>
      <c r="C16" s="11" t="inlineStr">
        <is>
          <t>00-Foundations</t>
        </is>
      </c>
      <c r="D16" s="11" t="n">
        <v>3</v>
      </c>
      <c r="E16" s="11" t="inlineStr">
        <is>
          <t>OpenAI API Documentation</t>
        </is>
      </c>
      <c r="F16" s="12" t="inlineStr">
        <is>
          <t>https://developers.openai.com/api/docs/</t>
        </is>
      </c>
      <c r="G16" s="12">
        <f>IF(F16="","",HYPERLINK(F16,"Open link"))</f>
        <v/>
      </c>
      <c r="H16" s="12">
        <f>IF(M16="","",IF(Config!$B$6="GitHub",HYPERLINK(Config!$B$5&amp;M16,"Open parent doc"),HYPERLINK("file://"&amp;Config!$B$4&amp;M16,"Open parent doc")))</f>
        <v/>
      </c>
      <c r="I16" s="11" t="inlineStr">
        <is>
          <t>Intro</t>
        </is>
      </c>
      <c r="J16" s="11" t="inlineStr">
        <is>
          <t>60 min</t>
        </is>
      </c>
      <c r="K16" s="11" t="inlineStr">
        <is>
          <t>Draft edge integration</t>
        </is>
      </c>
      <c r="L16" s="11" t="inlineStr">
        <is>
          <t>Responses API; prompt best practices</t>
        </is>
      </c>
      <c r="M16" s="11" t="inlineStr">
        <is>
          <t>Modules/00-Foundations/00-06-BankCo-Decision-Support-Warmup.md</t>
        </is>
      </c>
      <c r="N16" s="11" t="inlineStr">
        <is>
          <t>No</t>
        </is>
      </c>
      <c r="O16" s="11" t="inlineStr"/>
    </row>
    <row r="17">
      <c r="A17" s="11" t="inlineStr">
        <is>
          <t>Module</t>
        </is>
      </c>
      <c r="B17" s="11" t="inlineStr">
        <is>
          <t>00-06</t>
        </is>
      </c>
      <c r="C17" s="11" t="inlineStr">
        <is>
          <t>00-Foundations</t>
        </is>
      </c>
      <c r="D17" s="11" t="n">
        <v>4</v>
      </c>
      <c r="E17" s="11" t="inlineStr">
        <is>
          <t>OpenAI Prompt Engineering</t>
        </is>
      </c>
      <c r="F17" s="12" t="inlineStr">
        <is>
          <t>https://developers.openai.com/api/docs/guides/prompt-engineering</t>
        </is>
      </c>
      <c r="G17" s="12">
        <f>IF(F17="","",HYPERLINK(F17,"Open link"))</f>
        <v/>
      </c>
      <c r="H17" s="12">
        <f>IF(M17="","",IF(Config!$B$6="GitHub",HYPERLINK(Config!$B$5&amp;M17,"Open parent doc"),HYPERLINK("file://"&amp;Config!$B$4&amp;M17,"Open parent doc")))</f>
        <v/>
      </c>
      <c r="I17" s="11" t="inlineStr">
        <is>
          <t>Intro</t>
        </is>
      </c>
      <c r="J17" s="11" t="inlineStr">
        <is>
          <t>45 min</t>
        </is>
      </c>
      <c r="K17" s="11" t="inlineStr">
        <is>
          <t>Constrain drafts to offer language</t>
        </is>
      </c>
      <c r="L17" s="11" t="inlineStr">
        <is>
          <t>Clear instructions; evaluation</t>
        </is>
      </c>
      <c r="M17" s="11" t="inlineStr">
        <is>
          <t>Modules/00-Foundations/00-06-BankCo-Decision-Support-Warmup.md</t>
        </is>
      </c>
      <c r="N17" s="11" t="inlineStr">
        <is>
          <t>No</t>
        </is>
      </c>
      <c r="O17" s="11" t="inlineStr"/>
    </row>
    <row r="18">
      <c r="A18" s="11" t="inlineStr">
        <is>
          <t>Module</t>
        </is>
      </c>
      <c r="B18" s="11" t="inlineStr">
        <is>
          <t>00-06</t>
        </is>
      </c>
      <c r="C18" s="11" t="inlineStr">
        <is>
          <t>00-Foundations</t>
        </is>
      </c>
      <c r="D18" s="11" t="n">
        <v>5</v>
      </c>
      <c r="E18" s="11" t="inlineStr">
        <is>
          <t>OWASP Top 10 for LLM Applications</t>
        </is>
      </c>
      <c r="F18" s="12" t="inlineStr">
        <is>
          <t>https://owasp.org/www-project-top-10-for-large-language-model-applications/</t>
        </is>
      </c>
      <c r="G18" s="12">
        <f>IF(F18="","",HYPERLINK(F18,"Open link"))</f>
        <v/>
      </c>
      <c r="H18" s="12">
        <f>IF(M18="","",IF(Config!$B$6="GitHub",HYPERLINK(Config!$B$5&amp;M18,"Open parent doc"),HYPERLINK("file://"&amp;Config!$B$4&amp;M18,"Open parent doc")))</f>
        <v/>
      </c>
      <c r="I18" s="11" t="inlineStr">
        <is>
          <t>Intermediate</t>
        </is>
      </c>
      <c r="J18" s="11" t="inlineStr">
        <is>
          <t>60 min</t>
        </is>
      </c>
      <c r="K18" s="11" t="inlineStr">
        <is>
          <t>Regulated assistant threat model</t>
        </is>
      </c>
      <c r="L18" s="11" t="inlineStr">
        <is>
          <t>LLM01 injection; excessive agency</t>
        </is>
      </c>
      <c r="M18" s="11" t="inlineStr">
        <is>
          <t>Modules/00-Foundations/00-06-BankCo-Decision-Support-Warmup.md</t>
        </is>
      </c>
      <c r="N18" s="11" t="inlineStr">
        <is>
          <t>No</t>
        </is>
      </c>
      <c r="O18" s="11" t="inlineStr"/>
    </row>
    <row r="19">
      <c r="A19" s="11" t="inlineStr">
        <is>
          <t>Module</t>
        </is>
      </c>
      <c r="B19" s="11" t="inlineStr">
        <is>
          <t>01-01</t>
        </is>
      </c>
      <c r="C19" s="11" t="inlineStr">
        <is>
          <t>01-LLM-Engineering</t>
        </is>
      </c>
      <c r="D19" s="11" t="n">
        <v>1</v>
      </c>
      <c r="E19" s="11" t="inlineStr">
        <is>
          <t>Attention Is All You Need</t>
        </is>
      </c>
      <c r="F19" s="12" t="inlineStr">
        <is>
          <t>https://arxiv.org/abs/1706.03762</t>
        </is>
      </c>
      <c r="G19" s="12">
        <f>IF(F19="","",HYPERLINK(F19,"Open link"))</f>
        <v/>
      </c>
      <c r="H19" s="12">
        <f>IF(M19="","",IF(Config!$B$6="GitHub",HYPERLINK(Config!$B$5&amp;M19,"Open parent doc"),HYPERLINK("file://"&amp;Config!$B$4&amp;M19,"Open parent doc")))</f>
        <v/>
      </c>
      <c r="I19" s="11" t="inlineStr">
        <is>
          <t>Advanced</t>
        </is>
      </c>
      <c r="J19" s="11" t="inlineStr">
        <is>
          <t>60–90 min</t>
        </is>
      </c>
      <c r="K19" s="11" t="inlineStr">
        <is>
          <t>Original architecture; shared vocabulary</t>
        </is>
      </c>
      <c r="L19" s="11" t="inlineStr">
        <is>
          <t>§3 Model Architecture; §3.2 Attention</t>
        </is>
      </c>
      <c r="M19" s="11" t="inlineStr">
        <is>
          <t>Modules/01-LLM-Engineering/01-01-Transformer-Architecture.md</t>
        </is>
      </c>
      <c r="N19" s="11" t="inlineStr">
        <is>
          <t>No</t>
        </is>
      </c>
      <c r="O19" s="11" t="inlineStr"/>
    </row>
    <row r="20">
      <c r="A20" s="11" t="inlineStr">
        <is>
          <t>Module</t>
        </is>
      </c>
      <c r="B20" s="11" t="inlineStr">
        <is>
          <t>01-01</t>
        </is>
      </c>
      <c r="C20" s="11" t="inlineStr">
        <is>
          <t>01-LLM-Engineering</t>
        </is>
      </c>
      <c r="D20" s="11" t="n">
        <v>2</v>
      </c>
      <c r="E20" s="11" t="inlineStr">
        <is>
          <t>Hugging Face Transformers Docs</t>
        </is>
      </c>
      <c r="F20" s="12" t="inlineStr">
        <is>
          <t>https://huggingface.co/docs/transformers/en/index</t>
        </is>
      </c>
      <c r="G20" s="12">
        <f>IF(F20="","",HYPERLINK(F20,"Open link"))</f>
        <v/>
      </c>
      <c r="H20" s="12">
        <f>IF(M20="","",IF(Config!$B$6="GitHub",HYPERLINK(Config!$B$5&amp;M20,"Open parent doc"),HYPERLINK("file://"&amp;Config!$B$4&amp;M20,"Open parent doc")))</f>
        <v/>
      </c>
      <c r="I20" s="11" t="inlineStr">
        <is>
          <t>Intro–Intermediate</t>
        </is>
      </c>
      <c r="J20" s="11" t="inlineStr">
        <is>
          <t>45 min</t>
        </is>
      </c>
      <c r="K20" s="11" t="inlineStr">
        <is>
          <t>Production model APIs &amp; config objects</t>
        </is>
      </c>
      <c r="L20" s="11" t="inlineStr">
        <is>
          <t>Quickstart; Model docs; Generation</t>
        </is>
      </c>
      <c r="M20" s="11" t="inlineStr">
        <is>
          <t>Modules/01-LLM-Engineering/01-01-Transformer-Architecture.md</t>
        </is>
      </c>
      <c r="N20" s="11" t="inlineStr">
        <is>
          <t>No</t>
        </is>
      </c>
      <c r="O20" s="11" t="inlineStr"/>
    </row>
    <row r="21">
      <c r="A21" s="11" t="inlineStr">
        <is>
          <t>Module</t>
        </is>
      </c>
      <c r="B21" s="11" t="inlineStr">
        <is>
          <t>01-01</t>
        </is>
      </c>
      <c r="C21" s="11" t="inlineStr">
        <is>
          <t>01-LLM-Engineering</t>
        </is>
      </c>
      <c r="D21" s="11" t="n">
        <v>3</v>
      </c>
      <c r="E21" s="11" t="inlineStr">
        <is>
          <t>HF NLP Course Ch.1</t>
        </is>
      </c>
      <c r="F21" s="12" t="inlineStr">
        <is>
          <t>https://huggingface.co/learn/nlp-course/chapter1/1</t>
        </is>
      </c>
      <c r="G21" s="12">
        <f>IF(F21="","",HYPERLINK(F21,"Open link"))</f>
        <v/>
      </c>
      <c r="H21" s="12">
        <f>IF(M21="","",IF(Config!$B$6="GitHub",HYPERLINK(Config!$B$5&amp;M21,"Open parent doc"),HYPERLINK("file://"&amp;Config!$B$4&amp;M21,"Open parent doc")))</f>
        <v/>
      </c>
      <c r="I21" s="11" t="inlineStr">
        <is>
          <t>Intro</t>
        </is>
      </c>
      <c r="J21" s="11" t="inlineStr">
        <is>
          <t>30 min</t>
        </is>
      </c>
      <c r="K21" s="11" t="inlineStr">
        <is>
          <t>Gentle transformer intuition for engineers</t>
        </is>
      </c>
      <c r="L21" s="11" t="inlineStr">
        <is>
          <t>Transformer models section</t>
        </is>
      </c>
      <c r="M21" s="11" t="inlineStr">
        <is>
          <t>Modules/01-LLM-Engineering/01-01-Transformer-Architecture.md</t>
        </is>
      </c>
      <c r="N21" s="11" t="inlineStr">
        <is>
          <t>No</t>
        </is>
      </c>
      <c r="O21" s="11" t="inlineStr"/>
    </row>
    <row r="22">
      <c r="A22" s="11" t="inlineStr">
        <is>
          <t>Module</t>
        </is>
      </c>
      <c r="B22" s="11" t="inlineStr">
        <is>
          <t>01-01</t>
        </is>
      </c>
      <c r="C22" s="11" t="inlineStr">
        <is>
          <t>01-LLM-Engineering</t>
        </is>
      </c>
      <c r="D22" s="11" t="n">
        <v>4</v>
      </c>
      <c r="E22" s="11" t="inlineStr">
        <is>
          <t>OpenAI Production Best Practices</t>
        </is>
      </c>
      <c r="F22" s="12" t="inlineStr">
        <is>
          <t>https://developers.openai.com/api/docs/guides/production-best-practices</t>
        </is>
      </c>
      <c r="G22" s="12">
        <f>IF(F22="","",HYPERLINK(F22,"Open link"))</f>
        <v/>
      </c>
      <c r="H22" s="12">
        <f>IF(M22="","",IF(Config!$B$6="GitHub",HYPERLINK(Config!$B$5&amp;M22,"Open parent doc"),HYPERLINK("file://"&amp;Config!$B$4&amp;M22,"Open parent doc")))</f>
        <v/>
      </c>
      <c r="I22" s="11" t="inlineStr">
        <is>
          <t>Intermediate</t>
        </is>
      </c>
      <c r="J22" s="11" t="inlineStr">
        <is>
          <t>40 min</t>
        </is>
      </c>
      <c r="K22" s="11" t="inlineStr">
        <is>
          <t>Latency/cost tied to token generation physics</t>
        </is>
      </c>
      <c r="L22" s="11" t="inlineStr">
        <is>
          <t>Improving latencies; Managing costs</t>
        </is>
      </c>
      <c r="M22" s="11" t="inlineStr">
        <is>
          <t>Modules/01-LLM-Engineering/01-01-Transformer-Architecture.md</t>
        </is>
      </c>
      <c r="N22" s="11" t="inlineStr">
        <is>
          <t>No</t>
        </is>
      </c>
      <c r="O22" s="11" t="inlineStr"/>
    </row>
    <row r="23">
      <c r="A23" s="11" t="inlineStr">
        <is>
          <t>Module</t>
        </is>
      </c>
      <c r="B23" s="11" t="inlineStr">
        <is>
          <t>01-01</t>
        </is>
      </c>
      <c r="C23" s="11" t="inlineStr">
        <is>
          <t>01-LLM-Engineering</t>
        </is>
      </c>
      <c r="D23" s="11" t="n">
        <v>5</v>
      </c>
      <c r="E23" s="11" t="inlineStr">
        <is>
          <t>RoFormer (RoPE paper)</t>
        </is>
      </c>
      <c r="F23" s="12" t="inlineStr">
        <is>
          <t>https://arxiv.org/abs/2104.09864</t>
        </is>
      </c>
      <c r="G23" s="12">
        <f>IF(F23="","",HYPERLINK(F23,"Open link"))</f>
        <v/>
      </c>
      <c r="H23" s="12">
        <f>IF(M23="","",IF(Config!$B$6="GitHub",HYPERLINK(Config!$B$5&amp;M23,"Open parent doc"),HYPERLINK("file://"&amp;Config!$B$4&amp;M23,"Open parent doc")))</f>
        <v/>
      </c>
      <c r="I23" s="11" t="inlineStr">
        <is>
          <t>Advanced</t>
        </is>
      </c>
      <c r="J23" s="11" t="inlineStr">
        <is>
          <t>45 min</t>
        </is>
      </c>
      <c r="K23" s="11" t="inlineStr">
        <is>
          <t>Deep dive on rotary embeddings</t>
        </is>
      </c>
      <c r="L23" s="11" t="inlineStr">
        <is>
          <t>RoPE formulation (optional)</t>
        </is>
      </c>
      <c r="M23" s="11" t="inlineStr">
        <is>
          <t>Modules/01-LLM-Engineering/01-01-Transformer-Architecture.md</t>
        </is>
      </c>
      <c r="N23" s="11" t="inlineStr">
        <is>
          <t>No</t>
        </is>
      </c>
      <c r="O23" s="11" t="inlineStr"/>
    </row>
    <row r="24">
      <c r="A24" s="11" t="inlineStr">
        <is>
          <t>Module</t>
        </is>
      </c>
      <c r="B24" s="11" t="inlineStr">
        <is>
          <t>01-01</t>
        </is>
      </c>
      <c r="C24" s="11" t="inlineStr">
        <is>
          <t>01-LLM-Engineering</t>
        </is>
      </c>
      <c r="D24" s="11" t="n">
        <v>6</v>
      </c>
      <c r="E24" s="11" t="inlineStr">
        <is>
          <t>Training Compute-Optimal LLMs (Chinchilla)</t>
        </is>
      </c>
      <c r="F24" s="12" t="inlineStr">
        <is>
          <t>https://arxiv.org/abs/2203.15556</t>
        </is>
      </c>
      <c r="G24" s="12">
        <f>IF(F24="","",HYPERLINK(F24,"Open link"))</f>
        <v/>
      </c>
      <c r="H24" s="12">
        <f>IF(M24="","",IF(Config!$B$6="GitHub",HYPERLINK(Config!$B$5&amp;M24,"Open parent doc"),HYPERLINK("file://"&amp;Config!$B$4&amp;M24,"Open parent doc")))</f>
        <v/>
      </c>
      <c r="I24" s="11" t="inlineStr">
        <is>
          <t>Advanced</t>
        </is>
      </c>
      <c r="J24" s="11" t="inlineStr">
        <is>
          <t>60 min</t>
        </is>
      </c>
      <c r="K24" s="11" t="inlineStr">
        <is>
          <t>Scaling laws for sizing decisions</t>
        </is>
      </c>
      <c r="L24" s="11" t="inlineStr">
        <is>
          <t>Abstract; compute-optimal frontier</t>
        </is>
      </c>
      <c r="M24" s="11" t="inlineStr">
        <is>
          <t>Modules/01-LLM-Engineering/01-01-Transformer-Architecture.md</t>
        </is>
      </c>
      <c r="N24" s="11" t="inlineStr">
        <is>
          <t>No</t>
        </is>
      </c>
      <c r="O24" s="11" t="inlineStr"/>
    </row>
    <row r="25">
      <c r="A25" s="11" t="inlineStr">
        <is>
          <t>Module</t>
        </is>
      </c>
      <c r="B25" s="11" t="inlineStr">
        <is>
          <t>01-02</t>
        </is>
      </c>
      <c r="C25" s="11" t="inlineStr">
        <is>
          <t>01-LLM-Engineering</t>
        </is>
      </c>
      <c r="D25" s="11" t="n">
        <v>1</v>
      </c>
      <c r="E25" s="11" t="inlineStr">
        <is>
          <t>tiktoken (OpenAI BPE)</t>
        </is>
      </c>
      <c r="F25" s="12" t="inlineStr">
        <is>
          <t>https://github.com/openai/tiktoken</t>
        </is>
      </c>
      <c r="G25" s="12">
        <f>IF(F25="","",HYPERLINK(F25,"Open link"))</f>
        <v/>
      </c>
      <c r="H25" s="12">
        <f>IF(M25="","",IF(Config!$B$6="GitHub",HYPERLINK(Config!$B$5&amp;M25,"Open parent doc"),HYPERLINK("file://"&amp;Config!$B$4&amp;M25,"Open parent doc")))</f>
        <v/>
      </c>
      <c r="I25" s="11" t="inlineStr">
        <is>
          <t>Intro</t>
        </is>
      </c>
      <c r="J25" s="11" t="inlineStr">
        <is>
          <t>20 min</t>
        </is>
      </c>
      <c r="K25" s="11" t="inlineStr">
        <is>
          <t>Exact OpenAI token counting</t>
        </is>
      </c>
      <c r="L25" s="11" t="inlineStr">
        <is>
          <t>README; `encoding_for_model`</t>
        </is>
      </c>
      <c r="M25" s="11" t="inlineStr">
        <is>
          <t>Modules/01-LLM-Engineering/01-02-Tokenization-Context-Windows.md</t>
        </is>
      </c>
      <c r="N25" s="11" t="inlineStr">
        <is>
          <t>No</t>
        </is>
      </c>
      <c r="O25" s="11" t="inlineStr"/>
    </row>
    <row r="26">
      <c r="A26" s="11" t="inlineStr">
        <is>
          <t>Module</t>
        </is>
      </c>
      <c r="B26" s="11" t="inlineStr">
        <is>
          <t>01-02</t>
        </is>
      </c>
      <c r="C26" s="11" t="inlineStr">
        <is>
          <t>01-LLM-Engineering</t>
        </is>
      </c>
      <c r="D26" s="11" t="n">
        <v>2</v>
      </c>
      <c r="E26" s="11" t="inlineStr">
        <is>
          <t>OpenAI Text Generation Guide</t>
        </is>
      </c>
      <c r="F26" s="12" t="inlineStr">
        <is>
          <t>https://developers.openai.com/api/docs/guides/text-generation</t>
        </is>
      </c>
      <c r="G26" s="12">
        <f>IF(F26="","",HYPERLINK(F26,"Open link"))</f>
        <v/>
      </c>
      <c r="H26" s="12">
        <f>IF(M26="","",IF(Config!$B$6="GitHub",HYPERLINK(Config!$B$5&amp;M26,"Open parent doc"),HYPERLINK("file://"&amp;Config!$B$4&amp;M26,"Open parent doc")))</f>
        <v/>
      </c>
      <c r="I26" s="11" t="inlineStr">
        <is>
          <t>Intro</t>
        </is>
      </c>
      <c r="J26" s="11" t="inlineStr">
        <is>
          <t>45 min</t>
        </is>
      </c>
      <c r="K26" s="11" t="inlineStr">
        <is>
          <t>Official context &amp; message semantics</t>
        </is>
      </c>
      <c r="L26" s="11" t="inlineStr">
        <is>
          <t>Max tokens; message roles</t>
        </is>
      </c>
      <c r="M26" s="11" t="inlineStr">
        <is>
          <t>Modules/01-LLM-Engineering/01-02-Tokenization-Context-Windows.md</t>
        </is>
      </c>
      <c r="N26" s="11" t="inlineStr">
        <is>
          <t>No</t>
        </is>
      </c>
      <c r="O26" s="11" t="inlineStr"/>
    </row>
    <row r="27">
      <c r="A27" s="11" t="inlineStr">
        <is>
          <t>Module</t>
        </is>
      </c>
      <c r="B27" s="11" t="inlineStr">
        <is>
          <t>01-02</t>
        </is>
      </c>
      <c r="C27" s="11" t="inlineStr">
        <is>
          <t>01-LLM-Engineering</t>
        </is>
      </c>
      <c r="D27" s="11" t="n">
        <v>3</v>
      </c>
      <c r="E27" s="11" t="inlineStr">
        <is>
          <t>Anthropic Context Windows</t>
        </is>
      </c>
      <c r="F27" s="12" t="inlineStr">
        <is>
          <t>https://platform.claude.com/docs/en/docs/build-with-claude/context-windows</t>
        </is>
      </c>
      <c r="G27" s="12">
        <f>IF(F27="","",HYPERLINK(F27,"Open link"))</f>
        <v/>
      </c>
      <c r="H27" s="12">
        <f>IF(M27="","",IF(Config!$B$6="GitHub",HYPERLINK(Config!$B$5&amp;M27,"Open parent doc"),HYPERLINK("file://"&amp;Config!$B$4&amp;M27,"Open parent doc")))</f>
        <v/>
      </c>
      <c r="I27" s="11" t="inlineStr">
        <is>
          <t>Intermediate</t>
        </is>
      </c>
      <c r="J27" s="11" t="inlineStr">
        <is>
          <t>40 min</t>
        </is>
      </c>
      <c r="K27" s="11" t="inlineStr">
        <is>
          <t>Context rot, thinking tokens, compaction</t>
        </is>
      </c>
      <c r="L27" s="11" t="inlineStr">
        <is>
          <t>What counts; overflow behavior</t>
        </is>
      </c>
      <c r="M27" s="11" t="inlineStr">
        <is>
          <t>Modules/01-LLM-Engineering/01-02-Tokenization-Context-Windows.md</t>
        </is>
      </c>
      <c r="N27" s="11" t="inlineStr">
        <is>
          <t>No</t>
        </is>
      </c>
      <c r="O27" s="11" t="inlineStr"/>
    </row>
    <row r="28">
      <c r="A28" s="11" t="inlineStr">
        <is>
          <t>Module</t>
        </is>
      </c>
      <c r="B28" s="11" t="inlineStr">
        <is>
          <t>01-02</t>
        </is>
      </c>
      <c r="C28" s="11" t="inlineStr">
        <is>
          <t>01-LLM-Engineering</t>
        </is>
      </c>
      <c r="D28" s="11" t="n">
        <v>4</v>
      </c>
      <c r="E28" s="11" t="inlineStr">
        <is>
          <t>Gemini Long Context</t>
        </is>
      </c>
      <c r="F28" s="12" t="inlineStr">
        <is>
          <t>https://ai.google.dev/gemini-api/docs/long-context</t>
        </is>
      </c>
      <c r="G28" s="12">
        <f>IF(F28="","",HYPERLINK(F28,"Open link"))</f>
        <v/>
      </c>
      <c r="H28" s="12">
        <f>IF(M28="","",IF(Config!$B$6="GitHub",HYPERLINK(Config!$B$5&amp;M28,"Open parent doc"),HYPERLINK("file://"&amp;Config!$B$4&amp;M28,"Open parent doc")))</f>
        <v/>
      </c>
      <c r="I28" s="11" t="inlineStr">
        <is>
          <t>Intermediate</t>
        </is>
      </c>
      <c r="J28" s="11" t="inlineStr">
        <is>
          <t>30 min</t>
        </is>
      </c>
      <c r="K28" s="11" t="inlineStr">
        <is>
          <t>Multimodal long-context constraints</t>
        </is>
      </c>
      <c r="L28" s="11" t="inlineStr">
        <is>
          <t>Limits; best practices</t>
        </is>
      </c>
      <c r="M28" s="11" t="inlineStr">
        <is>
          <t>Modules/01-LLM-Engineering/01-02-Tokenization-Context-Windows.md</t>
        </is>
      </c>
      <c r="N28" s="11" t="inlineStr">
        <is>
          <t>No</t>
        </is>
      </c>
      <c r="O28" s="11" t="inlineStr"/>
    </row>
    <row r="29">
      <c r="A29" s="11" t="inlineStr">
        <is>
          <t>Module</t>
        </is>
      </c>
      <c r="B29" s="11" t="inlineStr">
        <is>
          <t>01-02</t>
        </is>
      </c>
      <c r="C29" s="11" t="inlineStr">
        <is>
          <t>01-LLM-Engineering</t>
        </is>
      </c>
      <c r="D29" s="11" t="n">
        <v>5</v>
      </c>
      <c r="E29" s="11" t="inlineStr">
        <is>
          <t>Attention Is All You Need</t>
        </is>
      </c>
      <c r="F29" s="12" t="inlineStr">
        <is>
          <t>https://arxiv.org/abs/1706.03762</t>
        </is>
      </c>
      <c r="G29" s="12">
        <f>IF(F29="","",HYPERLINK(F29,"Open link"))</f>
        <v/>
      </c>
      <c r="H29" s="12">
        <f>IF(M29="","",IF(Config!$B$6="GitHub",HYPERLINK(Config!$B$5&amp;M29,"Open parent doc"),HYPERLINK("file://"&amp;Config!$B$4&amp;M29,"Open parent doc")))</f>
        <v/>
      </c>
      <c r="I29" s="11" t="inlineStr">
        <is>
          <t>Advanced</t>
        </is>
      </c>
      <c r="J29" s="11" t="inlineStr">
        <is>
          <t>60 min</t>
        </is>
      </c>
      <c r="K29" s="11" t="inlineStr">
        <is>
          <t>Why prefill scales with sequence² — ties to [01-01](01-01-Transformer-Architecture.md)</t>
        </is>
      </c>
      <c r="L29" s="11" t="inlineStr">
        <is>
          <t>Multi-head attention</t>
        </is>
      </c>
      <c r="M29" s="11" t="inlineStr">
        <is>
          <t>Modules/01-LLM-Engineering/01-02-Tokenization-Context-Windows.md</t>
        </is>
      </c>
      <c r="N29" s="11" t="inlineStr">
        <is>
          <t>No</t>
        </is>
      </c>
      <c r="O29" s="11" t="inlineStr"/>
    </row>
    <row r="30">
      <c r="A30" s="11" t="inlineStr">
        <is>
          <t>Module</t>
        </is>
      </c>
      <c r="B30" s="11" t="inlineStr">
        <is>
          <t>01-02</t>
        </is>
      </c>
      <c r="C30" s="11" t="inlineStr">
        <is>
          <t>01-LLM-Engineering</t>
        </is>
      </c>
      <c r="D30" s="11" t="n">
        <v>6</v>
      </c>
      <c r="E30" s="11" t="inlineStr">
        <is>
          <t>Lost in the Middle (Liu et al.)</t>
        </is>
      </c>
      <c r="F30" s="12" t="inlineStr">
        <is>
          <t>https://arxiv.org/abs/2307.03172</t>
        </is>
      </c>
      <c r="G30" s="12">
        <f>IF(F30="","",HYPERLINK(F30,"Open link"))</f>
        <v/>
      </c>
      <c r="H30" s="12">
        <f>IF(M30="","",IF(Config!$B$6="GitHub",HYPERLINK(Config!$B$5&amp;M30,"Open parent doc"),HYPERLINK("file://"&amp;Config!$B$4&amp;M30,"Open parent doc")))</f>
        <v/>
      </c>
      <c r="I30" s="11" t="inlineStr">
        <is>
          <t>Intermediate</t>
        </is>
      </c>
      <c r="J30" s="11" t="inlineStr">
        <is>
          <t>45 min</t>
        </is>
      </c>
      <c r="K30" s="11" t="inlineStr">
        <is>
          <t>Evidence for long-context recall limits</t>
        </is>
      </c>
      <c r="L30" s="11" t="inlineStr">
        <is>
          <t>Experiments on placement</t>
        </is>
      </c>
      <c r="M30" s="11" t="inlineStr">
        <is>
          <t>Modules/01-LLM-Engineering/01-02-Tokenization-Context-Windows.md</t>
        </is>
      </c>
      <c r="N30" s="11" t="inlineStr">
        <is>
          <t>No</t>
        </is>
      </c>
      <c r="O30" s="11" t="inlineStr"/>
    </row>
    <row r="31">
      <c r="A31" s="11" t="inlineStr">
        <is>
          <t>Module</t>
        </is>
      </c>
      <c r="B31" s="11" t="inlineStr">
        <is>
          <t>01-02</t>
        </is>
      </c>
      <c r="C31" s="11" t="inlineStr">
        <is>
          <t>01-LLM-Engineering</t>
        </is>
      </c>
      <c r="D31" s="11" t="n">
        <v>7</v>
      </c>
      <c r="E31" s="11" t="inlineStr">
        <is>
          <t>Neural Machine Translation by Jointly Learning to Align and Translate</t>
        </is>
      </c>
      <c r="F31" s="12" t="inlineStr">
        <is>
          <t>https://arxiv.org/abs/1409.0473</t>
        </is>
      </c>
      <c r="G31" s="12">
        <f>IF(F31="","",HYPERLINK(F31,"Open link"))</f>
        <v/>
      </c>
      <c r="H31" s="12">
        <f>IF(M31="","",IF(Config!$B$6="GitHub",HYPERLINK(Config!$B$5&amp;M31,"Open parent doc"),HYPERLINK("file://"&amp;Config!$B$4&amp;M31,"Open parent doc")))</f>
        <v/>
      </c>
      <c r="I31" s="11" t="inlineStr">
        <is>
          <t>Advanced</t>
        </is>
      </c>
      <c r="J31" s="11" t="inlineStr">
        <is>
          <t>Optional</t>
        </is>
      </c>
      <c r="K31" s="11" t="inlineStr">
        <is>
          <t>Historical attention intuition</t>
        </is>
      </c>
      <c r="L31" s="11" t="inlineStr">
        <is>
          <t>Attention mechanism</t>
        </is>
      </c>
      <c r="M31" s="11" t="inlineStr">
        <is>
          <t>Modules/01-LLM-Engineering/01-02-Tokenization-Context-Windows.md</t>
        </is>
      </c>
      <c r="N31" s="11" t="inlineStr">
        <is>
          <t>No</t>
        </is>
      </c>
      <c r="O31" s="11" t="inlineStr"/>
    </row>
    <row r="32">
      <c r="A32" s="11" t="inlineStr">
        <is>
          <t>Module</t>
        </is>
      </c>
      <c r="B32" s="11" t="inlineStr">
        <is>
          <t>01-03</t>
        </is>
      </c>
      <c r="C32" s="11" t="inlineStr">
        <is>
          <t>01-LLM-Engineering</t>
        </is>
      </c>
      <c r="D32" s="11" t="n">
        <v>1</v>
      </c>
      <c r="E32" s="11" t="inlineStr">
        <is>
          <t>OpenAI API Documentation</t>
        </is>
      </c>
      <c r="F32" s="12" t="inlineStr">
        <is>
          <t>https://developers.openai.com/api/docs/</t>
        </is>
      </c>
      <c r="G32" s="12">
        <f>IF(F32="","",HYPERLINK(F32,"Open link"))</f>
        <v/>
      </c>
      <c r="H32" s="12">
        <f>IF(M32="","",IF(Config!$B$6="GitHub",HYPERLINK(Config!$B$5&amp;M32,"Open parent doc"),HYPERLINK("file://"&amp;Config!$B$4&amp;M32,"Open parent doc")))</f>
        <v/>
      </c>
      <c r="I32" s="11" t="inlineStr">
        <is>
          <t>Intro</t>
        </is>
      </c>
      <c r="J32" s="11" t="inlineStr">
        <is>
          <t>60 min</t>
        </is>
      </c>
      <c r="K32" s="11" t="inlineStr">
        <is>
          <t>Canonical Responses + tools reference</t>
        </is>
      </c>
      <c r="L32" s="11" t="inlineStr">
        <is>
          <t>Responses API; structured outputs; streaming</t>
        </is>
      </c>
      <c r="M32" s="11" t="inlineStr">
        <is>
          <t>Modules/01-LLM-Engineering/01-03-Provider-SDKs-OpenAI-Claude-Gemini.md</t>
        </is>
      </c>
      <c r="N32" s="11" t="inlineStr">
        <is>
          <t>No</t>
        </is>
      </c>
      <c r="O32" s="11" t="inlineStr"/>
    </row>
    <row r="33">
      <c r="A33" s="11" t="inlineStr">
        <is>
          <t>Module</t>
        </is>
      </c>
      <c r="B33" s="11" t="inlineStr">
        <is>
          <t>01-03</t>
        </is>
      </c>
      <c r="C33" s="11" t="inlineStr">
        <is>
          <t>01-LLM-Engineering</t>
        </is>
      </c>
      <c r="D33" s="11" t="n">
        <v>2</v>
      </c>
      <c r="E33" s="11" t="inlineStr">
        <is>
          <t>OpenAI Python SDK</t>
        </is>
      </c>
      <c r="F33" s="12" t="inlineStr">
        <is>
          <t>https://github.com/openai/openai-python</t>
        </is>
      </c>
      <c r="G33" s="12">
        <f>IF(F33="","",HYPERLINK(F33,"Open link"))</f>
        <v/>
      </c>
      <c r="H33" s="12">
        <f>IF(M33="","",IF(Config!$B$6="GitHub",HYPERLINK(Config!$B$5&amp;M33,"Open parent doc"),HYPERLINK("file://"&amp;Config!$B$4&amp;M33,"Open parent doc")))</f>
        <v/>
      </c>
      <c r="I33" s="11" t="inlineStr">
        <is>
          <t>Intro</t>
        </is>
      </c>
      <c r="J33" s="11" t="inlineStr">
        <is>
          <t>30 min</t>
        </is>
      </c>
      <c r="K33" s="11" t="inlineStr">
        <is>
          <t>`responses.parse`, streaming helpers</t>
        </is>
      </c>
      <c r="L33" s="11" t="inlineStr">
        <is>
          <t>helpers.md; examples</t>
        </is>
      </c>
      <c r="M33" s="11" t="inlineStr">
        <is>
          <t>Modules/01-LLM-Engineering/01-03-Provider-SDKs-OpenAI-Claude-Gemini.md</t>
        </is>
      </c>
      <c r="N33" s="11" t="inlineStr">
        <is>
          <t>No</t>
        </is>
      </c>
      <c r="O33" s="11" t="inlineStr"/>
    </row>
    <row r="34">
      <c r="A34" s="11" t="inlineStr">
        <is>
          <t>Module</t>
        </is>
      </c>
      <c r="B34" s="11" t="inlineStr">
        <is>
          <t>01-03</t>
        </is>
      </c>
      <c r="C34" s="11" t="inlineStr">
        <is>
          <t>01-LLM-Engineering</t>
        </is>
      </c>
      <c r="D34" s="11" t="n">
        <v>3</v>
      </c>
      <c r="E34" s="11" t="inlineStr">
        <is>
          <t>Anthropic API Overview</t>
        </is>
      </c>
      <c r="F34" s="12" t="inlineStr">
        <is>
          <t>https://platform.claude.com/docs/en/api/overview</t>
        </is>
      </c>
      <c r="G34" s="12">
        <f>IF(F34="","",HYPERLINK(F34,"Open link"))</f>
        <v/>
      </c>
      <c r="H34" s="12">
        <f>IF(M34="","",IF(Config!$B$6="GitHub",HYPERLINK(Config!$B$5&amp;M34,"Open parent doc"),HYPERLINK("file://"&amp;Config!$B$4&amp;M34,"Open parent doc")))</f>
        <v/>
      </c>
      <c r="I34" s="11" t="inlineStr">
        <is>
          <t>Intro</t>
        </is>
      </c>
      <c r="J34" s="11" t="inlineStr">
        <is>
          <t>45 min</t>
        </is>
      </c>
      <c r="K34" s="11" t="inlineStr">
        <is>
          <t>Messages API mental model</t>
        </is>
      </c>
      <c r="L34" s="11" t="inlineStr">
        <is>
          <t>Messages; tool use; streaming</t>
        </is>
      </c>
      <c r="M34" s="11" t="inlineStr">
        <is>
          <t>Modules/01-LLM-Engineering/01-03-Provider-SDKs-OpenAI-Claude-Gemini.md</t>
        </is>
      </c>
      <c r="N34" s="11" t="inlineStr">
        <is>
          <t>No</t>
        </is>
      </c>
      <c r="O34" s="11" t="inlineStr"/>
    </row>
    <row r="35">
      <c r="A35" s="11" t="inlineStr">
        <is>
          <t>Module</t>
        </is>
      </c>
      <c r="B35" s="11" t="inlineStr">
        <is>
          <t>01-03</t>
        </is>
      </c>
      <c r="C35" s="11" t="inlineStr">
        <is>
          <t>01-LLM-Engineering</t>
        </is>
      </c>
      <c r="D35" s="11" t="n">
        <v>4</v>
      </c>
      <c r="E35" s="11" t="inlineStr">
        <is>
          <t>Anthropic Python SDK</t>
        </is>
      </c>
      <c r="F35" s="12" t="inlineStr">
        <is>
          <t>https://github.com/anthropics/anthropic-sdk-python</t>
        </is>
      </c>
      <c r="G35" s="12">
        <f>IF(F35="","",HYPERLINK(F35,"Open link"))</f>
        <v/>
      </c>
      <c r="H35" s="12">
        <f>IF(M35="","",IF(Config!$B$6="GitHub",HYPERLINK(Config!$B$5&amp;M35,"Open parent doc"),HYPERLINK("file://"&amp;Config!$B$4&amp;M35,"Open parent doc")))</f>
        <v/>
      </c>
      <c r="I35" s="11" t="inlineStr">
        <is>
          <t>Intro</t>
        </is>
      </c>
      <c r="J35" s="11" t="inlineStr">
        <is>
          <t>30 min</t>
        </is>
      </c>
      <c r="K35" s="11" t="inlineStr">
        <is>
          <t>Typed messages + stream context managers</t>
        </is>
      </c>
      <c r="L35" s="11" t="inlineStr">
        <is>
          <t>README; streaming</t>
        </is>
      </c>
      <c r="M35" s="11" t="inlineStr">
        <is>
          <t>Modules/01-LLM-Engineering/01-03-Provider-SDKs-OpenAI-Claude-Gemini.md</t>
        </is>
      </c>
      <c r="N35" s="11" t="inlineStr">
        <is>
          <t>No</t>
        </is>
      </c>
      <c r="O35" s="11" t="inlineStr"/>
    </row>
    <row r="36">
      <c r="A36" s="11" t="inlineStr">
        <is>
          <t>Module</t>
        </is>
      </c>
      <c r="B36" s="11" t="inlineStr">
        <is>
          <t>01-03</t>
        </is>
      </c>
      <c r="C36" s="11" t="inlineStr">
        <is>
          <t>01-LLM-Engineering</t>
        </is>
      </c>
      <c r="D36" s="11" t="n">
        <v>5</v>
      </c>
      <c r="E36" s="11" t="inlineStr">
        <is>
          <t>Gemini API Docs</t>
        </is>
      </c>
      <c r="F36" s="12" t="inlineStr">
        <is>
          <t>https://ai.google.dev/gemini-api/docs</t>
        </is>
      </c>
      <c r="G36" s="12">
        <f>IF(F36="","",HYPERLINK(F36,"Open link"))</f>
        <v/>
      </c>
      <c r="H36" s="12">
        <f>IF(M36="","",IF(Config!$B$6="GitHub",HYPERLINK(Config!$B$5&amp;M36,"Open parent doc"),HYPERLINK("file://"&amp;Config!$B$4&amp;M36,"Open parent doc")))</f>
        <v/>
      </c>
      <c r="I36" s="11" t="inlineStr">
        <is>
          <t>Intro</t>
        </is>
      </c>
      <c r="J36" s="11" t="inlineStr">
        <is>
          <t>45 min</t>
        </is>
      </c>
      <c r="K36" s="11" t="inlineStr">
        <is>
          <t>Structured output + function calling</t>
        </is>
      </c>
      <c r="L36" s="11" t="inlineStr">
        <is>
          <t>generateContent; tools; JSON schema</t>
        </is>
      </c>
      <c r="M36" s="11" t="inlineStr">
        <is>
          <t>Modules/01-LLM-Engineering/01-03-Provider-SDKs-OpenAI-Claude-Gemini.md</t>
        </is>
      </c>
      <c r="N36" s="11" t="inlineStr">
        <is>
          <t>No</t>
        </is>
      </c>
      <c r="O36" s="11" t="inlineStr"/>
    </row>
    <row r="37">
      <c r="A37" s="11" t="inlineStr">
        <is>
          <t>Module</t>
        </is>
      </c>
      <c r="B37" s="11" t="inlineStr">
        <is>
          <t>01-03</t>
        </is>
      </c>
      <c r="C37" s="11" t="inlineStr">
        <is>
          <t>01-LLM-Engineering</t>
        </is>
      </c>
      <c r="D37" s="11" t="n">
        <v>6</v>
      </c>
      <c r="E37" s="11" t="inlineStr">
        <is>
          <t>Google GenAI Python SDK</t>
        </is>
      </c>
      <c r="F37" s="12" t="inlineStr">
        <is>
          <t>https://github.com/googleapis/python-genai</t>
        </is>
      </c>
      <c r="G37" s="12">
        <f>IF(F37="","",HYPERLINK(F37,"Open link"))</f>
        <v/>
      </c>
      <c r="H37" s="12">
        <f>IF(M37="","",IF(Config!$B$6="GitHub",HYPERLINK(Config!$B$5&amp;M37,"Open parent doc"),HYPERLINK("file://"&amp;Config!$B$4&amp;M37,"Open parent doc")))</f>
        <v/>
      </c>
      <c r="I37" s="11" t="inlineStr">
        <is>
          <t>Intro</t>
        </is>
      </c>
      <c r="J37" s="11" t="inlineStr">
        <is>
          <t>30 min</t>
        </is>
      </c>
      <c r="K37" s="11" t="inlineStr">
        <is>
          <t>`Client`, `types`, async patterns</t>
        </is>
      </c>
      <c r="L37" s="11" t="inlineStr">
        <is>
          <t>README; samples</t>
        </is>
      </c>
      <c r="M37" s="11" t="inlineStr">
        <is>
          <t>Modules/01-LLM-Engineering/01-03-Provider-SDKs-OpenAI-Claude-Gemini.md</t>
        </is>
      </c>
      <c r="N37" s="11" t="inlineStr">
        <is>
          <t>No</t>
        </is>
      </c>
      <c r="O37" s="11" t="inlineStr"/>
    </row>
    <row r="38">
      <c r="A38" s="11" t="inlineStr">
        <is>
          <t>Module</t>
        </is>
      </c>
      <c r="B38" s="11" t="inlineStr">
        <is>
          <t>01-03</t>
        </is>
      </c>
      <c r="C38" s="11" t="inlineStr">
        <is>
          <t>01-LLM-Engineering</t>
        </is>
      </c>
      <c r="D38" s="11" t="n">
        <v>7</v>
      </c>
      <c r="E38" s="11" t="inlineStr">
        <is>
          <t>DeepSeek API Docs</t>
        </is>
      </c>
      <c r="F38" s="12" t="inlineStr">
        <is>
          <t>https://api-docs.deepseek.com/</t>
        </is>
      </c>
      <c r="G38" s="12">
        <f>IF(F38="","",HYPERLINK(F38,"Open link"))</f>
        <v/>
      </c>
      <c r="H38" s="12">
        <f>IF(M38="","",IF(Config!$B$6="GitHub",HYPERLINK(Config!$B$5&amp;M38,"Open parent doc"),HYPERLINK("file://"&amp;Config!$B$4&amp;M38,"Open parent doc")))</f>
        <v/>
      </c>
      <c r="I38" s="11" t="inlineStr">
        <is>
          <t>Intro</t>
        </is>
      </c>
      <c r="J38" s="11" t="inlineStr">
        <is>
          <t>30 min</t>
        </is>
      </c>
      <c r="K38" s="11" t="inlineStr">
        <is>
          <t>OpenAI-compatible cost tier</t>
        </is>
      </c>
      <c r="L38" s="11" t="inlineStr">
        <is>
          <t>models; chat; pricing</t>
        </is>
      </c>
      <c r="M38" s="11" t="inlineStr">
        <is>
          <t>Modules/01-LLM-Engineering/01-03-Provider-SDKs-OpenAI-Claude-Gemini.md</t>
        </is>
      </c>
      <c r="N38" s="11" t="inlineStr">
        <is>
          <t>No</t>
        </is>
      </c>
      <c r="O38" s="11" t="inlineStr"/>
    </row>
    <row r="39">
      <c r="A39" s="11" t="inlineStr">
        <is>
          <t>Module</t>
        </is>
      </c>
      <c r="B39" s="11" t="inlineStr">
        <is>
          <t>01-04</t>
        </is>
      </c>
      <c r="C39" s="11" t="inlineStr">
        <is>
          <t>01-LLM-Engineering</t>
        </is>
      </c>
      <c r="D39" s="11" t="n">
        <v>1</v>
      </c>
      <c r="E39" s="11" t="inlineStr">
        <is>
          <t>LiteLLM Documentation</t>
        </is>
      </c>
      <c r="F39" s="12" t="inlineStr">
        <is>
          <t>https://docs.litellm.ai/docs/</t>
        </is>
      </c>
      <c r="G39" s="12">
        <f>IF(F39="","",HYPERLINK(F39,"Open link"))</f>
        <v/>
      </c>
      <c r="H39" s="12">
        <f>IF(M39="","",IF(Config!$B$6="GitHub",HYPERLINK(Config!$B$5&amp;M39,"Open parent doc"),HYPERLINK("file://"&amp;Config!$B$4&amp;M39,"Open parent doc")))</f>
        <v/>
      </c>
      <c r="I39" s="11" t="inlineStr">
        <is>
          <t>Intro</t>
        </is>
      </c>
      <c r="J39" s="11" t="inlineStr">
        <is>
          <t>45 min</t>
        </is>
      </c>
      <c r="K39" s="11" t="inlineStr">
        <is>
          <t>Canonical API and proxy reference</t>
        </is>
      </c>
      <c r="L39" s="11" t="inlineStr">
        <is>
          <t>Router; Proxy; Provider list</t>
        </is>
      </c>
      <c r="M39" s="11" t="inlineStr">
        <is>
          <t>Modules/01-LLM-Engineering/01-04-Model-Routing-LiteLLM.md</t>
        </is>
      </c>
      <c r="N39" s="11" t="inlineStr">
        <is>
          <t>No</t>
        </is>
      </c>
      <c r="O39" s="11" t="inlineStr"/>
    </row>
    <row r="40">
      <c r="A40" s="11" t="inlineStr">
        <is>
          <t>Module</t>
        </is>
      </c>
      <c r="B40" s="11" t="inlineStr">
        <is>
          <t>01-04</t>
        </is>
      </c>
      <c r="C40" s="11" t="inlineStr">
        <is>
          <t>01-LLM-Engineering</t>
        </is>
      </c>
      <c r="D40" s="11" t="n">
        <v>2</v>
      </c>
      <c r="E40" s="11" t="inlineStr">
        <is>
          <t>LiteLLM GitHub</t>
        </is>
      </c>
      <c r="F40" s="12" t="inlineStr">
        <is>
          <t>https://github.com/BerriAI/litellm</t>
        </is>
      </c>
      <c r="G40" s="12">
        <f>IF(F40="","",HYPERLINK(F40,"Open link"))</f>
        <v/>
      </c>
      <c r="H40" s="12">
        <f>IF(M40="","",IF(Config!$B$6="GitHub",HYPERLINK(Config!$B$5&amp;M40,"Open parent doc"),HYPERLINK("file://"&amp;Config!$B$4&amp;M40,"Open parent doc")))</f>
        <v/>
      </c>
      <c r="I40" s="11" t="inlineStr">
        <is>
          <t>Intro</t>
        </is>
      </c>
      <c r="J40" s="11" t="inlineStr">
        <is>
          <t>20 min</t>
        </is>
      </c>
      <c r="K40" s="11" t="inlineStr">
        <is>
          <t>Source, issues, release notes</t>
        </is>
      </c>
      <c r="L40" s="11" t="inlineStr">
        <is>
          <t>Router examples; config samples</t>
        </is>
      </c>
      <c r="M40" s="11" t="inlineStr">
        <is>
          <t>Modules/01-LLM-Engineering/01-04-Model-Routing-LiteLLM.md</t>
        </is>
      </c>
      <c r="N40" s="11" t="inlineStr">
        <is>
          <t>No</t>
        </is>
      </c>
      <c r="O40" s="11" t="inlineStr"/>
    </row>
    <row r="41">
      <c r="A41" s="11" t="inlineStr">
        <is>
          <t>Module</t>
        </is>
      </c>
      <c r="B41" s="11" t="inlineStr">
        <is>
          <t>01-04</t>
        </is>
      </c>
      <c r="C41" s="11" t="inlineStr">
        <is>
          <t>01-LLM-Engineering</t>
        </is>
      </c>
      <c r="D41" s="11" t="n">
        <v>3</v>
      </c>
      <c r="E41" s="11" t="inlineStr">
        <is>
          <t>Router — Load Balancing</t>
        </is>
      </c>
      <c r="F41" s="12" t="inlineStr">
        <is>
          <t>https://docs.litellm.ai/docs/routing</t>
        </is>
      </c>
      <c r="G41" s="12">
        <f>IF(F41="","",HYPERLINK(F41,"Open link"))</f>
        <v/>
      </c>
      <c r="H41" s="12">
        <f>IF(M41="","",IF(Config!$B$6="GitHub",HYPERLINK(Config!$B$5&amp;M41,"Open parent doc"),HYPERLINK("file://"&amp;Config!$B$4&amp;M41,"Open parent doc")))</f>
        <v/>
      </c>
      <c r="I41" s="11" t="inlineStr">
        <is>
          <t>Intermediate</t>
        </is>
      </c>
      <c r="J41" s="11" t="inlineStr">
        <is>
          <t>40 min</t>
        </is>
      </c>
      <c r="K41" s="11" t="inlineStr">
        <is>
          <t>Fallbacks, cooldowns, strategies</t>
        </is>
      </c>
      <c r="L41" s="11" t="inlineStr">
        <is>
          <t>Routing strategies; fallbacks</t>
        </is>
      </c>
      <c r="M41" s="11" t="inlineStr">
        <is>
          <t>Modules/01-LLM-Engineering/01-04-Model-Routing-LiteLLM.md</t>
        </is>
      </c>
      <c r="N41" s="11" t="inlineStr">
        <is>
          <t>No</t>
        </is>
      </c>
      <c r="O41" s="11" t="inlineStr"/>
    </row>
    <row r="42">
      <c r="A42" s="11" t="inlineStr">
        <is>
          <t>Module</t>
        </is>
      </c>
      <c r="B42" s="11" t="inlineStr">
        <is>
          <t>01-04</t>
        </is>
      </c>
      <c r="C42" s="11" t="inlineStr">
        <is>
          <t>01-LLM-Engineering</t>
        </is>
      </c>
      <c r="D42" s="11" t="n">
        <v>4</v>
      </c>
      <c r="E42" s="11" t="inlineStr">
        <is>
          <t>Proxy — Load Balancing</t>
        </is>
      </c>
      <c r="F42" s="12" t="inlineStr">
        <is>
          <t>https://docs.litellm.ai/docs/proxy/load_balancing</t>
        </is>
      </c>
      <c r="G42" s="12">
        <f>IF(F42="","",HYPERLINK(F42,"Open link"))</f>
        <v/>
      </c>
      <c r="H42" s="12">
        <f>IF(M42="","",IF(Config!$B$6="GitHub",HYPERLINK(Config!$B$5&amp;M42,"Open parent doc"),HYPERLINK("file://"&amp;Config!$B$4&amp;M42,"Open parent doc")))</f>
        <v/>
      </c>
      <c r="I42" s="11" t="inlineStr">
        <is>
          <t>Intermediate</t>
        </is>
      </c>
      <c r="J42" s="11" t="inlineStr">
        <is>
          <t>30 min</t>
        </is>
      </c>
      <c r="K42" s="11" t="inlineStr">
        <is>
          <t>Production proxy setup</t>
        </is>
      </c>
      <c r="L42" s="11" t="inlineStr">
        <is>
          <t>Redis; router_settings</t>
        </is>
      </c>
      <c r="M42" s="11" t="inlineStr">
        <is>
          <t>Modules/01-LLM-Engineering/01-04-Model-Routing-LiteLLM.md</t>
        </is>
      </c>
      <c r="N42" s="11" t="inlineStr">
        <is>
          <t>No</t>
        </is>
      </c>
      <c r="O42" s="11" t="inlineStr"/>
    </row>
    <row r="43">
      <c r="A43" s="11" t="inlineStr">
        <is>
          <t>Module</t>
        </is>
      </c>
      <c r="B43" s="11" t="inlineStr">
        <is>
          <t>01-04</t>
        </is>
      </c>
      <c r="C43" s="11" t="inlineStr">
        <is>
          <t>01-LLM-Engineering</t>
        </is>
      </c>
      <c r="D43" s="11" t="n">
        <v>5</v>
      </c>
      <c r="E43" s="11" t="inlineStr">
        <is>
          <t>Budget Routing</t>
        </is>
      </c>
      <c r="F43" s="12" t="inlineStr">
        <is>
          <t>https://docs.litellm.ai/docs/proxy/provider_budget_routing</t>
        </is>
      </c>
      <c r="G43" s="12">
        <f>IF(F43="","",HYPERLINK(F43,"Open link"))</f>
        <v/>
      </c>
      <c r="H43" s="12">
        <f>IF(M43="","",IF(Config!$B$6="GitHub",HYPERLINK(Config!$B$5&amp;M43,"Open parent doc"),HYPERLINK("file://"&amp;Config!$B$4&amp;M43,"Open parent doc")))</f>
        <v/>
      </c>
      <c r="I43" s="11" t="inlineStr">
        <is>
          <t>Intermediate</t>
        </is>
      </c>
      <c r="J43" s="11" t="inlineStr">
        <is>
          <t>25 min</t>
        </is>
      </c>
      <c r="K43" s="11" t="inlineStr">
        <is>
          <t>Provider spend caps</t>
        </is>
      </c>
      <c r="L43" s="11" t="inlineStr">
        <is>
          <t>provider_budget_config</t>
        </is>
      </c>
      <c r="M43" s="11" t="inlineStr">
        <is>
          <t>Modules/01-LLM-Engineering/01-04-Model-Routing-LiteLLM.md</t>
        </is>
      </c>
      <c r="N43" s="11" t="inlineStr">
        <is>
          <t>No</t>
        </is>
      </c>
      <c r="O43" s="11" t="inlineStr"/>
    </row>
    <row r="44">
      <c r="A44" s="11" t="inlineStr">
        <is>
          <t>Module</t>
        </is>
      </c>
      <c r="B44" s="11" t="inlineStr">
        <is>
          <t>01-04</t>
        </is>
      </c>
      <c r="C44" s="11" t="inlineStr">
        <is>
          <t>01-LLM-Engineering</t>
        </is>
      </c>
      <c r="D44" s="11" t="n">
        <v>6</v>
      </c>
      <c r="E44" s="11" t="inlineStr">
        <is>
          <t>Budget Fallbacks</t>
        </is>
      </c>
      <c r="F44" s="12" t="inlineStr">
        <is>
          <t>https://docs.litellm.ai/docs/proxy/budget_fallbacks</t>
        </is>
      </c>
      <c r="G44" s="12">
        <f>IF(F44="","",HYPERLINK(F44,"Open link"))</f>
        <v/>
      </c>
      <c r="H44" s="12">
        <f>IF(M44="","",IF(Config!$B$6="GitHub",HYPERLINK(Config!$B$5&amp;M44,"Open parent doc"),HYPERLINK("file://"&amp;Config!$B$4&amp;M44,"Open parent doc")))</f>
        <v/>
      </c>
      <c r="I44" s="11" t="inlineStr">
        <is>
          <t>Intermediate</t>
        </is>
      </c>
      <c r="J44" s="11" t="inlineStr">
        <is>
          <t>20 min</t>
        </is>
      </c>
      <c r="K44" s="11" t="inlineStr">
        <is>
          <t>Step-down on key budgets</t>
        </is>
      </c>
      <c r="L44" s="11" t="inlineStr">
        <is>
          <t>budget_fallbacks chains</t>
        </is>
      </c>
      <c r="M44" s="11" t="inlineStr">
        <is>
          <t>Modules/01-LLM-Engineering/01-04-Model-Routing-LiteLLM.md</t>
        </is>
      </c>
      <c r="N44" s="11" t="inlineStr">
        <is>
          <t>No</t>
        </is>
      </c>
      <c r="O44" s="11" t="inlineStr"/>
    </row>
    <row r="45">
      <c r="A45" s="11" t="inlineStr">
        <is>
          <t>Module</t>
        </is>
      </c>
      <c r="B45" s="11" t="inlineStr">
        <is>
          <t>01-04</t>
        </is>
      </c>
      <c r="C45" s="11" t="inlineStr">
        <is>
          <t>01-LLM-Engineering</t>
        </is>
      </c>
      <c r="D45" s="11" t="n">
        <v>7</v>
      </c>
      <c r="E45" s="11" t="inlineStr">
        <is>
          <t>OpenAI API Documentation</t>
        </is>
      </c>
      <c r="F45" s="12" t="inlineStr">
        <is>
          <t>https://developers.openai.com/api/docs/</t>
        </is>
      </c>
      <c r="G45" s="12">
        <f>IF(F45="","",HYPERLINK(F45,"Open link"))</f>
        <v/>
      </c>
      <c r="H45" s="12">
        <f>IF(M45="","",IF(Config!$B$6="GitHub",HYPERLINK(Config!$B$5&amp;M45,"Open parent doc"),HYPERLINK("file://"&amp;Config!$B$4&amp;M45,"Open parent doc")))</f>
        <v/>
      </c>
      <c r="I45" s="11" t="inlineStr">
        <is>
          <t>Intro</t>
        </is>
      </c>
      <c r="J45" s="11" t="inlineStr">
        <is>
          <t>60 min</t>
        </is>
      </c>
      <c r="K45" s="11" t="inlineStr">
        <is>
          <t>Baseline OpenAI-compatible contract</t>
        </is>
      </c>
      <c r="L45" s="11" t="inlineStr">
        <is>
          <t>Chat Completions; models</t>
        </is>
      </c>
      <c r="M45" s="11" t="inlineStr">
        <is>
          <t>Modules/01-LLM-Engineering/01-04-Model-Routing-LiteLLM.md</t>
        </is>
      </c>
      <c r="N45" s="11" t="inlineStr">
        <is>
          <t>No</t>
        </is>
      </c>
      <c r="O45" s="11" t="inlineStr"/>
    </row>
    <row r="46">
      <c r="A46" s="11" t="inlineStr">
        <is>
          <t>Module</t>
        </is>
      </c>
      <c r="B46" s="11" t="inlineStr">
        <is>
          <t>01-04</t>
        </is>
      </c>
      <c r="C46" s="11" t="inlineStr">
        <is>
          <t>01-LLM-Engineering</t>
        </is>
      </c>
      <c r="D46" s="11" t="n">
        <v>8</v>
      </c>
      <c r="E46" s="11" t="inlineStr">
        <is>
          <t>Anthropic API Overview</t>
        </is>
      </c>
      <c r="F46" s="12" t="inlineStr">
        <is>
          <t>https://docs.anthropic.com/en/api/overview</t>
        </is>
      </c>
      <c r="G46" s="12">
        <f>IF(F46="","",HYPERLINK(F46,"Open link"))</f>
        <v/>
      </c>
      <c r="H46" s="12">
        <f>IF(M46="","",IF(Config!$B$6="GitHub",HYPERLINK(Config!$B$5&amp;M46,"Open parent doc"),HYPERLINK("file://"&amp;Config!$B$4&amp;M46,"Open parent doc")))</f>
        <v/>
      </c>
      <c r="I46" s="11" t="inlineStr">
        <is>
          <t>Intro</t>
        </is>
      </c>
      <c r="J46" s="11" t="inlineStr">
        <is>
          <t>45 min</t>
        </is>
      </c>
      <c r="K46" s="11" t="inlineStr">
        <is>
          <t>Claude routing strings</t>
        </is>
      </c>
      <c r="L46" s="11" t="inlineStr">
        <is>
          <t>Messages API; models</t>
        </is>
      </c>
      <c r="M46" s="11" t="inlineStr">
        <is>
          <t>Modules/01-LLM-Engineering/01-04-Model-Routing-LiteLLM.md</t>
        </is>
      </c>
      <c r="N46" s="11" t="inlineStr">
        <is>
          <t>No</t>
        </is>
      </c>
      <c r="O46" s="11" t="inlineStr"/>
    </row>
    <row r="47">
      <c r="A47" s="11" t="inlineStr">
        <is>
          <t>Module</t>
        </is>
      </c>
      <c r="B47" s="11" t="inlineStr">
        <is>
          <t>01-05</t>
        </is>
      </c>
      <c r="C47" s="11" t="inlineStr">
        <is>
          <t>01-LLM-Engineering</t>
        </is>
      </c>
      <c r="D47" s="11" t="n">
        <v>1</v>
      </c>
      <c r="E47" s="11" t="inlineStr">
        <is>
          <t>vLLM Documentation</t>
        </is>
      </c>
      <c r="F47" s="12" t="inlineStr">
        <is>
          <t>https://docs.vllm.ai/en/latest/</t>
        </is>
      </c>
      <c r="G47" s="12">
        <f>IF(F47="","",HYPERLINK(F47,"Open link"))</f>
        <v/>
      </c>
      <c r="H47" s="12">
        <f>IF(M47="","",IF(Config!$B$6="GitHub",HYPERLINK(Config!$B$5&amp;M47,"Open parent doc"),HYPERLINK("file://"&amp;Config!$B$4&amp;M47,"Open parent doc")))</f>
        <v/>
      </c>
      <c r="I47" s="11" t="inlineStr">
        <is>
          <t>Intermediate</t>
        </is>
      </c>
      <c r="J47" s="11" t="inlineStr">
        <is>
          <t>60 min</t>
        </is>
      </c>
      <c r="K47" s="11" t="inlineStr">
        <is>
          <t>Official serving flags, APIs, schedulers</t>
        </is>
      </c>
      <c r="L47" s="11" t="inlineStr">
        <is>
          <t>Installation; OpenAI server; optimization</t>
        </is>
      </c>
      <c r="M47" s="11" t="inlineStr">
        <is>
          <t>Modules/01-LLM-Engineering/01-05-Inference-Serving-vLLM.md</t>
        </is>
      </c>
      <c r="N47" s="11" t="inlineStr">
        <is>
          <t>No</t>
        </is>
      </c>
      <c r="O47" s="11" t="inlineStr"/>
    </row>
    <row r="48">
      <c r="A48" s="11" t="inlineStr">
        <is>
          <t>Module</t>
        </is>
      </c>
      <c r="B48" s="11" t="inlineStr">
        <is>
          <t>01-05</t>
        </is>
      </c>
      <c r="C48" s="11" t="inlineStr">
        <is>
          <t>01-LLM-Engineering</t>
        </is>
      </c>
      <c r="D48" s="11" t="n">
        <v>2</v>
      </c>
      <c r="E48" s="11" t="inlineStr">
        <is>
          <t>vLLM GitHub</t>
        </is>
      </c>
      <c r="F48" s="12" t="inlineStr">
        <is>
          <t>https://github.com/vllm-project/vllm</t>
        </is>
      </c>
      <c r="G48" s="12">
        <f>IF(F48="","",HYPERLINK(F48,"Open link"))</f>
        <v/>
      </c>
      <c r="H48" s="12">
        <f>IF(M48="","",IF(Config!$B$6="GitHub",HYPERLINK(Config!$B$5&amp;M48,"Open parent doc"),HYPERLINK("file://"&amp;Config!$B$4&amp;M48,"Open parent doc")))</f>
        <v/>
      </c>
      <c r="I48" s="11" t="inlineStr">
        <is>
          <t>Intermediate</t>
        </is>
      </c>
      <c r="J48" s="11" t="inlineStr">
        <is>
          <t>30 min</t>
        </is>
      </c>
      <c r="K48" s="11" t="inlineStr">
        <is>
          <t>Issue tracker, release notes, examples</t>
        </is>
      </c>
      <c r="L48" s="11" t="inlineStr">
        <is>
          <t>README; performance tips</t>
        </is>
      </c>
      <c r="M48" s="11" t="inlineStr">
        <is>
          <t>Modules/01-LLM-Engineering/01-05-Inference-Serving-vLLM.md</t>
        </is>
      </c>
      <c r="N48" s="11" t="inlineStr">
        <is>
          <t>No</t>
        </is>
      </c>
      <c r="O48" s="11" t="inlineStr"/>
    </row>
    <row r="49">
      <c r="A49" s="11" t="inlineStr">
        <is>
          <t>Module</t>
        </is>
      </c>
      <c r="B49" s="11" t="inlineStr">
        <is>
          <t>01-05</t>
        </is>
      </c>
      <c r="C49" s="11" t="inlineStr">
        <is>
          <t>01-LLM-Engineering</t>
        </is>
      </c>
      <c r="D49" s="11" t="n">
        <v>3</v>
      </c>
      <c r="E49" s="11" t="inlineStr">
        <is>
          <t>Ollama GitHub</t>
        </is>
      </c>
      <c r="F49" s="12" t="inlineStr">
        <is>
          <t>https://github.com/ollama/ollama</t>
        </is>
      </c>
      <c r="G49" s="12">
        <f>IF(F49="","",HYPERLINK(F49,"Open link"))</f>
        <v/>
      </c>
      <c r="H49" s="12">
        <f>IF(M49="","",IF(Config!$B$6="GitHub",HYPERLINK(Config!$B$5&amp;M49,"Open parent doc"),HYPERLINK("file://"&amp;Config!$B$4&amp;M49,"Open parent doc")))</f>
        <v/>
      </c>
      <c r="I49" s="11" t="inlineStr">
        <is>
          <t>Intro</t>
        </is>
      </c>
      <c r="J49" s="11" t="inlineStr">
        <is>
          <t>20 min</t>
        </is>
      </c>
      <c r="K49" s="11" t="inlineStr">
        <is>
          <t>Local model pull/run workflow</t>
        </is>
      </c>
      <c r="L49" s="11" t="inlineStr">
        <is>
          <t>API; modelfiles</t>
        </is>
      </c>
      <c r="M49" s="11" t="inlineStr">
        <is>
          <t>Modules/01-LLM-Engineering/01-05-Inference-Serving-vLLM.md</t>
        </is>
      </c>
      <c r="N49" s="11" t="inlineStr">
        <is>
          <t>No</t>
        </is>
      </c>
      <c r="O49" s="11" t="inlineStr"/>
    </row>
    <row r="50">
      <c r="A50" s="11" t="inlineStr">
        <is>
          <t>Module</t>
        </is>
      </c>
      <c r="B50" s="11" t="inlineStr">
        <is>
          <t>01-05</t>
        </is>
      </c>
      <c r="C50" s="11" t="inlineStr">
        <is>
          <t>01-LLM-Engineering</t>
        </is>
      </c>
      <c r="D50" s="11" t="n">
        <v>4</v>
      </c>
      <c r="E50" s="11" t="inlineStr">
        <is>
          <t>HF Quantization</t>
        </is>
      </c>
      <c r="F50" s="12" t="inlineStr">
        <is>
          <t>https://huggingface.co/docs/transformers/en/main_classes/quantization</t>
        </is>
      </c>
      <c r="G50" s="12">
        <f>IF(F50="","",HYPERLINK(F50,"Open link"))</f>
        <v/>
      </c>
      <c r="H50" s="12">
        <f>IF(M50="","",IF(Config!$B$6="GitHub",HYPERLINK(Config!$B$5&amp;M50,"Open parent doc"),HYPERLINK("file://"&amp;Config!$B$4&amp;M50,"Open parent doc")))</f>
        <v/>
      </c>
      <c r="I50" s="11" t="inlineStr">
        <is>
          <t>Intermediate</t>
        </is>
      </c>
      <c r="J50" s="11" t="inlineStr">
        <is>
          <t>45 min</t>
        </is>
      </c>
      <c r="K50" s="11" t="inlineStr">
        <is>
          <t>GPTQ/AWQ/BnB overview</t>
        </is>
      </c>
      <c r="L50" s="11" t="inlineStr">
        <is>
          <t>Method comparison tables</t>
        </is>
      </c>
      <c r="M50" s="11" t="inlineStr">
        <is>
          <t>Modules/01-LLM-Engineering/01-05-Inference-Serving-vLLM.md</t>
        </is>
      </c>
      <c r="N50" s="11" t="inlineStr">
        <is>
          <t>No</t>
        </is>
      </c>
      <c r="O50" s="11" t="inlineStr"/>
    </row>
    <row r="51">
      <c r="A51" s="11" t="inlineStr">
        <is>
          <t>Module</t>
        </is>
      </c>
      <c r="B51" s="11" t="inlineStr">
        <is>
          <t>01-05</t>
        </is>
      </c>
      <c r="C51" s="11" t="inlineStr">
        <is>
          <t>01-LLM-Engineering</t>
        </is>
      </c>
      <c r="D51" s="11" t="n">
        <v>5</v>
      </c>
      <c r="E51" s="11" t="inlineStr">
        <is>
          <t>TensorRT-LLM</t>
        </is>
      </c>
      <c r="F51" s="12" t="inlineStr">
        <is>
          <t>https://developer.nvidia.com/tensorrt-llm</t>
        </is>
      </c>
      <c r="G51" s="12">
        <f>IF(F51="","",HYPERLINK(F51,"Open link"))</f>
        <v/>
      </c>
      <c r="H51" s="12">
        <f>IF(M51="","",IF(Config!$B$6="GitHub",HYPERLINK(Config!$B$5&amp;M51,"Open parent doc"),HYPERLINK("file://"&amp;Config!$B$4&amp;M51,"Open parent doc")))</f>
        <v/>
      </c>
      <c r="I51" s="11" t="inlineStr">
        <is>
          <t>Advanced</t>
        </is>
      </c>
      <c r="J51" s="11" t="inlineStr">
        <is>
          <t>45 min</t>
        </is>
      </c>
      <c r="K51" s="11" t="inlineStr">
        <is>
          <t>When compiled NVIDIA stacks win</t>
        </is>
      </c>
      <c r="L51" s="11" t="inlineStr">
        <is>
          <t>Quick start; perf guides</t>
        </is>
      </c>
      <c r="M51" s="11" t="inlineStr">
        <is>
          <t>Modules/01-LLM-Engineering/01-05-Inference-Serving-vLLM.md</t>
        </is>
      </c>
      <c r="N51" s="11" t="inlineStr">
        <is>
          <t>No</t>
        </is>
      </c>
      <c r="O51" s="11" t="inlineStr"/>
    </row>
    <row r="52">
      <c r="A52" s="11" t="inlineStr">
        <is>
          <t>Module</t>
        </is>
      </c>
      <c r="B52" s="11" t="inlineStr">
        <is>
          <t>01-05</t>
        </is>
      </c>
      <c r="C52" s="11" t="inlineStr">
        <is>
          <t>01-LLM-Engineering</t>
        </is>
      </c>
      <c r="D52" s="11" t="n">
        <v>6</v>
      </c>
      <c r="E52" s="11" t="inlineStr">
        <is>
          <t>PagedAttention paper (vLLM)</t>
        </is>
      </c>
      <c r="F52" s="12" t="inlineStr">
        <is>
          <t>https://arxiv.org/abs/2309.06180</t>
        </is>
      </c>
      <c r="G52" s="12">
        <f>IF(F52="","",HYPERLINK(F52,"Open link"))</f>
        <v/>
      </c>
      <c r="H52" s="12">
        <f>IF(M52="","",IF(Config!$B$6="GitHub",HYPERLINK(Config!$B$5&amp;M52,"Open parent doc"),HYPERLINK("file://"&amp;Config!$B$4&amp;M52,"Open parent doc")))</f>
        <v/>
      </c>
      <c r="I52" s="11" t="inlineStr">
        <is>
          <t>Advanced</t>
        </is>
      </c>
      <c r="J52" s="11" t="inlineStr">
        <is>
          <t>45 min</t>
        </is>
      </c>
      <c r="K52" s="11" t="inlineStr">
        <is>
          <t>Primary source for paging intuition</t>
        </is>
      </c>
      <c r="L52" s="11" t="inlineStr">
        <is>
          <t>§3 Memory management</t>
        </is>
      </c>
      <c r="M52" s="11" t="inlineStr">
        <is>
          <t>Modules/01-LLM-Engineering/01-05-Inference-Serving-vLLM.md</t>
        </is>
      </c>
      <c r="N52" s="11" t="inlineStr">
        <is>
          <t>No</t>
        </is>
      </c>
      <c r="O52" s="11" t="inlineStr"/>
    </row>
    <row r="53">
      <c r="A53" s="11" t="inlineStr">
        <is>
          <t>Module</t>
        </is>
      </c>
      <c r="B53" s="11" t="inlineStr">
        <is>
          <t>01-05</t>
        </is>
      </c>
      <c r="C53" s="11" t="inlineStr">
        <is>
          <t>01-LLM-Engineering</t>
        </is>
      </c>
      <c r="D53" s="11" t="n">
        <v>7</v>
      </c>
      <c r="E53" s="11" t="inlineStr">
        <is>
          <t>Speculative Decoding</t>
        </is>
      </c>
      <c r="F53" s="12" t="inlineStr">
        <is>
          <t>https://arxiv.org/abs/2211.17192</t>
        </is>
      </c>
      <c r="G53" s="12">
        <f>IF(F53="","",HYPERLINK(F53,"Open link"))</f>
        <v/>
      </c>
      <c r="H53" s="12">
        <f>IF(M53="","",IF(Config!$B$6="GitHub",HYPERLINK(Config!$B$5&amp;M53,"Open parent doc"),HYPERLINK("file://"&amp;Config!$B$4&amp;M53,"Open parent doc")))</f>
        <v/>
      </c>
      <c r="I53" s="11" t="inlineStr">
        <is>
          <t>Advanced</t>
        </is>
      </c>
      <c r="J53" s="11" t="inlineStr">
        <is>
          <t>30 min</t>
        </is>
      </c>
      <c r="K53" s="11" t="inlineStr">
        <is>
          <t>Draft/verify mental model</t>
        </is>
      </c>
      <c r="L53" s="11" t="inlineStr">
        <is>
          <t>Algorithm 1</t>
        </is>
      </c>
      <c r="M53" s="11" t="inlineStr">
        <is>
          <t>Modules/01-LLM-Engineering/01-05-Inference-Serving-vLLM.md</t>
        </is>
      </c>
      <c r="N53" s="11" t="inlineStr">
        <is>
          <t>No</t>
        </is>
      </c>
      <c r="O53" s="11" t="inlineStr"/>
    </row>
    <row r="54">
      <c r="A54" s="11" t="inlineStr">
        <is>
          <t>Module</t>
        </is>
      </c>
      <c r="B54" s="11" t="inlineStr">
        <is>
          <t>02-01</t>
        </is>
      </c>
      <c r="C54" s="11" t="inlineStr">
        <is>
          <t>02-Prompt-Engineering</t>
        </is>
      </c>
      <c r="D54" s="11" t="n">
        <v>1</v>
      </c>
      <c r="E54" s="11" t="inlineStr">
        <is>
          <t>OpenAI Prompt Engineering Guide</t>
        </is>
      </c>
      <c r="F54" s="12" t="inlineStr">
        <is>
          <t>https://developers.openai.com/api/docs/guides/prompt-engineering</t>
        </is>
      </c>
      <c r="G54" s="12">
        <f>IF(F54="","",HYPERLINK(F54,"Open link"))</f>
        <v/>
      </c>
      <c r="H54" s="12">
        <f>IF(M54="","",IF(Config!$B$6="GitHub",HYPERLINK(Config!$B$5&amp;M54,"Open parent doc"),HYPERLINK("file://"&amp;Config!$B$4&amp;M54,"Open parent doc")))</f>
        <v/>
      </c>
      <c r="I54" s="11" t="inlineStr">
        <is>
          <t>Intro</t>
        </is>
      </c>
      <c r="J54" s="11" t="inlineStr">
        <is>
          <t>45 min</t>
        </is>
      </c>
      <c r="K54" s="11" t="inlineStr">
        <is>
          <t>Official tactics for roles and iteration</t>
        </is>
      </c>
      <c r="L54" s="11" t="inlineStr">
        <is>
          <t>Message roles; clear instructions; split tasks</t>
        </is>
      </c>
      <c r="M54" s="11" t="inlineStr">
        <is>
          <t>Modules/02-Prompt-Engineering/02-01-Production-Prompt-Engineering.md</t>
        </is>
      </c>
      <c r="N54" s="11" t="inlineStr">
        <is>
          <t>No</t>
        </is>
      </c>
      <c r="O54" s="11" t="inlineStr"/>
    </row>
    <row r="55">
      <c r="A55" s="11" t="inlineStr">
        <is>
          <t>Module</t>
        </is>
      </c>
      <c r="B55" s="11" t="inlineStr">
        <is>
          <t>02-01</t>
        </is>
      </c>
      <c r="C55" s="11" t="inlineStr">
        <is>
          <t>02-Prompt-Engineering</t>
        </is>
      </c>
      <c r="D55" s="11" t="n">
        <v>2</v>
      </c>
      <c r="E55" s="11" t="inlineStr">
        <is>
          <t>OpenAI Structured Outputs</t>
        </is>
      </c>
      <c r="F55" s="12" t="inlineStr">
        <is>
          <t>https://developers.openai.com/api/docs/guides/structured-outputs</t>
        </is>
      </c>
      <c r="G55" s="12">
        <f>IF(F55="","",HYPERLINK(F55,"Open link"))</f>
        <v/>
      </c>
      <c r="H55" s="12">
        <f>IF(M55="","",IF(Config!$B$6="GitHub",HYPERLINK(Config!$B$5&amp;M55,"Open parent doc"),HYPERLINK("file://"&amp;Config!$B$4&amp;M55,"Open parent doc")))</f>
        <v/>
      </c>
      <c r="I55" s="11" t="inlineStr">
        <is>
          <t>Intermediate</t>
        </is>
      </c>
      <c r="J55" s="11" t="inlineStr">
        <is>
          <t>40 min</t>
        </is>
      </c>
      <c r="K55" s="11" t="inlineStr">
        <is>
          <t>Bridge to 02-02; CoT schemas</t>
        </is>
      </c>
      <c r="L55" s="11" t="inlineStr">
        <is>
          <t>Pydantic parsing; refusals; when to use</t>
        </is>
      </c>
      <c r="M55" s="11" t="inlineStr">
        <is>
          <t>Modules/02-Prompt-Engineering/02-01-Production-Prompt-Engineering.md</t>
        </is>
      </c>
      <c r="N55" s="11" t="inlineStr">
        <is>
          <t>No</t>
        </is>
      </c>
      <c r="O55" s="11" t="inlineStr"/>
    </row>
    <row r="56">
      <c r="A56" s="11" t="inlineStr">
        <is>
          <t>Module</t>
        </is>
      </c>
      <c r="B56" s="11" t="inlineStr">
        <is>
          <t>02-01</t>
        </is>
      </c>
      <c r="C56" s="11" t="inlineStr">
        <is>
          <t>02-Prompt-Engineering</t>
        </is>
      </c>
      <c r="D56" s="11" t="n">
        <v>3</v>
      </c>
      <c r="E56" s="11" t="inlineStr">
        <is>
          <t>promptfoo Intro</t>
        </is>
      </c>
      <c r="F56" s="12" t="inlineStr">
        <is>
          <t>https://www.promptfoo.dev/docs/intro/</t>
        </is>
      </c>
      <c r="G56" s="12">
        <f>IF(F56="","",HYPERLINK(F56,"Open link"))</f>
        <v/>
      </c>
      <c r="H56" s="12">
        <f>IF(M56="","",IF(Config!$B$6="GitHub",HYPERLINK(Config!$B$5&amp;M56,"Open parent doc"),HYPERLINK("file://"&amp;Config!$B$4&amp;M56,"Open parent doc")))</f>
        <v/>
      </c>
      <c r="I56" s="11" t="inlineStr">
        <is>
          <t>Intro</t>
        </is>
      </c>
      <c r="J56" s="11" t="inlineStr">
        <is>
          <t>20 min</t>
        </is>
      </c>
      <c r="K56" s="11" t="inlineStr">
        <is>
          <t>Eval-driven workflow</t>
        </is>
      </c>
      <c r="L56" s="11" t="inlineStr">
        <is>
          <t>Workflow; matrix evals; CI usage</t>
        </is>
      </c>
      <c r="M56" s="11" t="inlineStr">
        <is>
          <t>Modules/02-Prompt-Engineering/02-01-Production-Prompt-Engineering.md</t>
        </is>
      </c>
      <c r="N56" s="11" t="inlineStr">
        <is>
          <t>No</t>
        </is>
      </c>
      <c r="O56" s="11" t="inlineStr"/>
    </row>
    <row r="57">
      <c r="A57" s="11" t="inlineStr">
        <is>
          <t>Module</t>
        </is>
      </c>
      <c r="B57" s="11" t="inlineStr">
        <is>
          <t>02-01</t>
        </is>
      </c>
      <c r="C57" s="11" t="inlineStr">
        <is>
          <t>02-Prompt-Engineering</t>
        </is>
      </c>
      <c r="D57" s="11" t="n">
        <v>4</v>
      </c>
      <c r="E57" s="11" t="inlineStr">
        <is>
          <t>OpenAI Function Calling</t>
        </is>
      </c>
      <c r="F57" s="12" t="inlineStr">
        <is>
          <t>https://developers.openai.com/api/docs/guides/function-calling</t>
        </is>
      </c>
      <c r="G57" s="12">
        <f>IF(F57="","",HYPERLINK(F57,"Open link"))</f>
        <v/>
      </c>
      <c r="H57" s="12">
        <f>IF(M57="","",IF(Config!$B$6="GitHub",HYPERLINK(Config!$B$5&amp;M57,"Open parent doc"),HYPERLINK("file://"&amp;Config!$B$4&amp;M57,"Open parent doc")))</f>
        <v/>
      </c>
      <c r="I57" s="11" t="inlineStr">
        <is>
          <t>Intermediate</t>
        </is>
      </c>
      <c r="J57" s="11" t="inlineStr">
        <is>
          <t>40 min</t>
        </is>
      </c>
      <c r="K57" s="11" t="inlineStr">
        <is>
          <t>Tools as prompt contracts (preview for 02-02)</t>
        </is>
      </c>
      <c r="L57" s="11" t="inlineStr">
        <is>
          <t>Tool definitions; structured outputs overlap</t>
        </is>
      </c>
      <c r="M57" s="11" t="inlineStr">
        <is>
          <t>Modules/02-Prompt-Engineering/02-01-Production-Prompt-Engineering.md</t>
        </is>
      </c>
      <c r="N57" s="11" t="inlineStr">
        <is>
          <t>No</t>
        </is>
      </c>
      <c r="O57" s="11" t="inlineStr"/>
    </row>
    <row r="58">
      <c r="A58" s="11" t="inlineStr">
        <is>
          <t>Module</t>
        </is>
      </c>
      <c r="B58" s="11" t="inlineStr">
        <is>
          <t>02-01</t>
        </is>
      </c>
      <c r="C58" s="11" t="inlineStr">
        <is>
          <t>02-Prompt-Engineering</t>
        </is>
      </c>
      <c r="D58" s="11" t="n">
        <v>5</v>
      </c>
      <c r="E58" s="11" t="inlineStr">
        <is>
          <t>Anthropic Tool Use</t>
        </is>
      </c>
      <c r="F58" s="12" t="inlineStr">
        <is>
          <t>https://platform.claude.com/docs/en/docs/build-with-claude/tool-use</t>
        </is>
      </c>
      <c r="G58" s="12">
        <f>IF(F58="","",HYPERLINK(F58,"Open link"))</f>
        <v/>
      </c>
      <c r="H58" s="12">
        <f>IF(M58="","",IF(Config!$B$6="GitHub",HYPERLINK(Config!$B$5&amp;M58,"Open parent doc"),HYPERLINK("file://"&amp;Config!$B$4&amp;M58,"Open parent doc")))</f>
        <v/>
      </c>
      <c r="I58" s="11" t="inlineStr">
        <is>
          <t>Intermediate</t>
        </is>
      </c>
      <c r="J58" s="11" t="inlineStr">
        <is>
          <t>35 min</t>
        </is>
      </c>
      <c r="K58" s="11" t="inlineStr">
        <is>
          <t>Cross-provider prompt patterns</t>
        </is>
      </c>
      <c r="L58" s="11" t="inlineStr">
        <is>
          <t>Tool choice; system prompts</t>
        </is>
      </c>
      <c r="M58" s="11" t="inlineStr">
        <is>
          <t>Modules/02-Prompt-Engineering/02-01-Production-Prompt-Engineering.md</t>
        </is>
      </c>
      <c r="N58" s="11" t="inlineStr">
        <is>
          <t>No</t>
        </is>
      </c>
      <c r="O58" s="11" t="inlineStr"/>
    </row>
    <row r="59">
      <c r="A59" s="11" t="inlineStr">
        <is>
          <t>Module</t>
        </is>
      </c>
      <c r="B59" s="11" t="inlineStr">
        <is>
          <t>02-01</t>
        </is>
      </c>
      <c r="C59" s="11" t="inlineStr">
        <is>
          <t>02-Prompt-Engineering</t>
        </is>
      </c>
      <c r="D59" s="11" t="n">
        <v>6</v>
      </c>
      <c r="E59" s="11" t="inlineStr">
        <is>
          <t>Chain-of-Thought Prompting (paper)</t>
        </is>
      </c>
      <c r="F59" s="12" t="inlineStr">
        <is>
          <t>https://arxiv.org/abs/2201.11903</t>
        </is>
      </c>
      <c r="G59" s="12">
        <f>IF(F59="","",HYPERLINK(F59,"Open link"))</f>
        <v/>
      </c>
      <c r="H59" s="12">
        <f>IF(M59="","",IF(Config!$B$6="GitHub",HYPERLINK(Config!$B$5&amp;M59,"Open parent doc"),HYPERLINK("file://"&amp;Config!$B$4&amp;M59,"Open parent doc")))</f>
        <v/>
      </c>
      <c r="I59" s="11" t="inlineStr">
        <is>
          <t>Advanced</t>
        </is>
      </c>
      <c r="J59" s="11" t="inlineStr">
        <is>
          <t>45 min</t>
        </is>
      </c>
      <c r="K59" s="11" t="inlineStr">
        <is>
          <t>When CoT helps reasoning</t>
        </is>
      </c>
      <c r="L59" s="11" t="inlineStr">
        <is>
          <t>Method; limitations</t>
        </is>
      </c>
      <c r="M59" s="11" t="inlineStr">
        <is>
          <t>Modules/02-Prompt-Engineering/02-01-Production-Prompt-Engineering.md</t>
        </is>
      </c>
      <c r="N59" s="11" t="inlineStr">
        <is>
          <t>No</t>
        </is>
      </c>
      <c r="O59" s="11" t="inlineStr"/>
    </row>
    <row r="60">
      <c r="A60" s="11" t="inlineStr">
        <is>
          <t>Module</t>
        </is>
      </c>
      <c r="B60" s="11" t="inlineStr">
        <is>
          <t>02-01</t>
        </is>
      </c>
      <c r="C60" s="11" t="inlineStr">
        <is>
          <t>02-Prompt-Engineering</t>
        </is>
      </c>
      <c r="D60" s="11" t="n">
        <v>7</v>
      </c>
      <c r="E60" s="11" t="inlineStr">
        <is>
          <t>OWASP LLM Top 10</t>
        </is>
      </c>
      <c r="F60" s="12" t="inlineStr">
        <is>
          <t>https://owasp.org/www-project-top-10-for-large-language-model-applications/</t>
        </is>
      </c>
      <c r="G60" s="12">
        <f>IF(F60="","",HYPERLINK(F60,"Open link"))</f>
        <v/>
      </c>
      <c r="H60" s="12">
        <f>IF(M60="","",IF(Config!$B$6="GitHub",HYPERLINK(Config!$B$5&amp;M60,"Open parent doc"),HYPERLINK("file://"&amp;Config!$B$4&amp;M60,"Open parent doc")))</f>
        <v/>
      </c>
      <c r="I60" s="11" t="inlineStr">
        <is>
          <t>Intermediate</t>
        </is>
      </c>
      <c r="J60" s="11" t="inlineStr">
        <is>
          <t>60 min</t>
        </is>
      </c>
      <c r="K60" s="11" t="inlineStr">
        <is>
          <t>Jailbreak/injection context</t>
        </is>
      </c>
      <c r="L60" s="11" t="inlineStr">
        <is>
          <t>LLM01 Prompt Injection</t>
        </is>
      </c>
      <c r="M60" s="11" t="inlineStr">
        <is>
          <t>Modules/02-Prompt-Engineering/02-01-Production-Prompt-Engineering.md</t>
        </is>
      </c>
      <c r="N60" s="11" t="inlineStr">
        <is>
          <t>No</t>
        </is>
      </c>
      <c r="O60" s="11" t="inlineStr"/>
    </row>
    <row r="61">
      <c r="A61" s="11" t="inlineStr">
        <is>
          <t>Module</t>
        </is>
      </c>
      <c r="B61" s="11" t="inlineStr">
        <is>
          <t>02-02</t>
        </is>
      </c>
      <c r="C61" s="11" t="inlineStr">
        <is>
          <t>02-Prompt-Engineering</t>
        </is>
      </c>
      <c r="D61" s="11" t="n">
        <v>1</v>
      </c>
      <c r="E61" s="11" t="inlineStr">
        <is>
          <t>OpenAI Structured Outputs</t>
        </is>
      </c>
      <c r="F61" s="12" t="inlineStr">
        <is>
          <t>https://developers.openai.com/api/docs/guides/structured-outputs</t>
        </is>
      </c>
      <c r="G61" s="12">
        <f>IF(F61="","",HYPERLINK(F61,"Open link"))</f>
        <v/>
      </c>
      <c r="H61" s="12">
        <f>IF(M61="","",IF(Config!$B$6="GitHub",HYPERLINK(Config!$B$5&amp;M61,"Open parent doc"),HYPERLINK("file://"&amp;Config!$B$4&amp;M61,"Open parent doc")))</f>
        <v/>
      </c>
      <c r="I61" s="11" t="inlineStr">
        <is>
          <t>Intermediate</t>
        </is>
      </c>
      <c r="J61" s="11" t="inlineStr">
        <is>
          <t>40 min</t>
        </is>
      </c>
      <c r="K61" s="11" t="inlineStr">
        <is>
          <t>Primary pattern for typed responses</t>
        </is>
      </c>
      <c r="L61" s="11" t="inlineStr">
        <is>
          <t>Pydantic; refusals; vs function calling</t>
        </is>
      </c>
      <c r="M61" s="11" t="inlineStr">
        <is>
          <t>Modules/02-Prompt-Engineering/02-02-Structured-Outputs-Tool-Calling.md</t>
        </is>
      </c>
      <c r="N61" s="11" t="inlineStr">
        <is>
          <t>No</t>
        </is>
      </c>
      <c r="O61" s="11" t="inlineStr"/>
    </row>
    <row r="62">
      <c r="A62" s="11" t="inlineStr">
        <is>
          <t>Module</t>
        </is>
      </c>
      <c r="B62" s="11" t="inlineStr">
        <is>
          <t>02-02</t>
        </is>
      </c>
      <c r="C62" s="11" t="inlineStr">
        <is>
          <t>02-Prompt-Engineering</t>
        </is>
      </c>
      <c r="D62" s="11" t="n">
        <v>2</v>
      </c>
      <c r="E62" s="11" t="inlineStr">
        <is>
          <t>OpenAI Function Calling</t>
        </is>
      </c>
      <c r="F62" s="12" t="inlineStr">
        <is>
          <t>https://developers.openai.com/api/docs/guides/function-calling</t>
        </is>
      </c>
      <c r="G62" s="12">
        <f>IF(F62="","",HYPERLINK(F62,"Open link"))</f>
        <v/>
      </c>
      <c r="H62" s="12">
        <f>IF(M62="","",IF(Config!$B$6="GitHub",HYPERLINK(Config!$B$5&amp;M62,"Open parent doc"),HYPERLINK("file://"&amp;Config!$B$4&amp;M62,"Open parent doc")))</f>
        <v/>
      </c>
      <c r="I62" s="11" t="inlineStr">
        <is>
          <t>Intermediate</t>
        </is>
      </c>
      <c r="J62" s="11" t="inlineStr">
        <is>
          <t>45 min</t>
        </is>
      </c>
      <c r="K62" s="11" t="inlineStr">
        <is>
          <t>Tool loop mechanics</t>
        </is>
      </c>
      <c r="L62" s="11" t="inlineStr">
        <is>
          <t>Strict schemas; tool choice; Responses API</t>
        </is>
      </c>
      <c r="M62" s="11" t="inlineStr">
        <is>
          <t>Modules/02-Prompt-Engineering/02-02-Structured-Outputs-Tool-Calling.md</t>
        </is>
      </c>
      <c r="N62" s="11" t="inlineStr">
        <is>
          <t>No</t>
        </is>
      </c>
      <c r="O62" s="11" t="inlineStr"/>
    </row>
    <row r="63">
      <c r="A63" s="11" t="inlineStr">
        <is>
          <t>Module</t>
        </is>
      </c>
      <c r="B63" s="11" t="inlineStr">
        <is>
          <t>02-02</t>
        </is>
      </c>
      <c r="C63" s="11" t="inlineStr">
        <is>
          <t>02-Prompt-Engineering</t>
        </is>
      </c>
      <c r="D63" s="11" t="n">
        <v>3</v>
      </c>
      <c r="E63" s="11" t="inlineStr">
        <is>
          <t>Anthropic Tool Use</t>
        </is>
      </c>
      <c r="F63" s="12" t="inlineStr">
        <is>
          <t>https://platform.claude.com/docs/en/docs/build-with-claude/tool-use</t>
        </is>
      </c>
      <c r="G63" s="12">
        <f>IF(F63="","",HYPERLINK(F63,"Open link"))</f>
        <v/>
      </c>
      <c r="H63" s="12">
        <f>IF(M63="","",IF(Config!$B$6="GitHub",HYPERLINK(Config!$B$5&amp;M63,"Open parent doc"),HYPERLINK("file://"&amp;Config!$B$4&amp;M63,"Open parent doc")))</f>
        <v/>
      </c>
      <c r="I63" s="11" t="inlineStr">
        <is>
          <t>Intermediate</t>
        </is>
      </c>
      <c r="J63" s="11" t="inlineStr">
        <is>
          <t>40 min</t>
        </is>
      </c>
      <c r="K63" s="11" t="inlineStr">
        <is>
          <t>Claude integration</t>
        </is>
      </c>
      <c r="L63" s="11" t="inlineStr">
        <is>
          <t>input_schema; tool results</t>
        </is>
      </c>
      <c r="M63" s="11" t="inlineStr">
        <is>
          <t>Modules/02-Prompt-Engineering/02-02-Structured-Outputs-Tool-Calling.md</t>
        </is>
      </c>
      <c r="N63" s="11" t="inlineStr">
        <is>
          <t>No</t>
        </is>
      </c>
      <c r="O63" s="11" t="inlineStr"/>
    </row>
    <row r="64">
      <c r="A64" s="11" t="inlineStr">
        <is>
          <t>Module</t>
        </is>
      </c>
      <c r="B64" s="11" t="inlineStr">
        <is>
          <t>02-02</t>
        </is>
      </c>
      <c r="C64" s="11" t="inlineStr">
        <is>
          <t>02-Prompt-Engineering</t>
        </is>
      </c>
      <c r="D64" s="11" t="n">
        <v>4</v>
      </c>
      <c r="E64" s="11" t="inlineStr">
        <is>
          <t>Gemini Function Calling</t>
        </is>
      </c>
      <c r="F64" s="12" t="inlineStr">
        <is>
          <t>https://ai.google.dev/gemini-api/docs/function-calling</t>
        </is>
      </c>
      <c r="G64" s="12">
        <f>IF(F64="","",HYPERLINK(F64,"Open link"))</f>
        <v/>
      </c>
      <c r="H64" s="12">
        <f>IF(M64="","",IF(Config!$B$6="GitHub",HYPERLINK(Config!$B$5&amp;M64,"Open parent doc"),HYPERLINK("file://"&amp;Config!$B$4&amp;M64,"Open parent doc")))</f>
        <v/>
      </c>
      <c r="I64" s="11" t="inlineStr">
        <is>
          <t>Intermediate</t>
        </is>
      </c>
      <c r="J64" s="11" t="inlineStr">
        <is>
          <t>35 min</t>
        </is>
      </c>
      <c r="K64" s="11" t="inlineStr">
        <is>
          <t>Google integration</t>
        </is>
      </c>
      <c r="L64" s="11" t="inlineStr">
        <is>
          <t>functionDeclarations; parallel calls</t>
        </is>
      </c>
      <c r="M64" s="11" t="inlineStr">
        <is>
          <t>Modules/02-Prompt-Engineering/02-02-Structured-Outputs-Tool-Calling.md</t>
        </is>
      </c>
      <c r="N64" s="11" t="inlineStr">
        <is>
          <t>No</t>
        </is>
      </c>
      <c r="O64" s="11" t="inlineStr"/>
    </row>
    <row r="65">
      <c r="A65" s="11" t="inlineStr">
        <is>
          <t>Module</t>
        </is>
      </c>
      <c r="B65" s="11" t="inlineStr">
        <is>
          <t>02-02</t>
        </is>
      </c>
      <c r="C65" s="11" t="inlineStr">
        <is>
          <t>02-Prompt-Engineering</t>
        </is>
      </c>
      <c r="D65" s="11" t="n">
        <v>5</v>
      </c>
      <c r="E65" s="11" t="inlineStr">
        <is>
          <t>promptfoo Intro</t>
        </is>
      </c>
      <c r="F65" s="12" t="inlineStr">
        <is>
          <t>https://www.promptfoo.dev/docs/intro/</t>
        </is>
      </c>
      <c r="G65" s="12">
        <f>IF(F65="","",HYPERLINK(F65,"Open link"))</f>
        <v/>
      </c>
      <c r="H65" s="12">
        <f>IF(M65="","",IF(Config!$B$6="GitHub",HYPERLINK(Config!$B$5&amp;M65,"Open parent doc"),HYPERLINK("file://"&amp;Config!$B$4&amp;M65,"Open parent doc")))</f>
        <v/>
      </c>
      <c r="I65" s="11" t="inlineStr">
        <is>
          <t>Intro</t>
        </is>
      </c>
      <c r="J65" s="11" t="inlineStr">
        <is>
          <t>20 min</t>
        </is>
      </c>
      <c r="K65" s="11" t="inlineStr">
        <is>
          <t>Cross-provider eval</t>
        </is>
      </c>
      <c r="L65" s="11" t="inlineStr">
        <is>
          <t>Matrix testing workflow</t>
        </is>
      </c>
      <c r="M65" s="11" t="inlineStr">
        <is>
          <t>Modules/02-Prompt-Engineering/02-02-Structured-Outputs-Tool-Calling.md</t>
        </is>
      </c>
      <c r="N65" s="11" t="inlineStr">
        <is>
          <t>No</t>
        </is>
      </c>
      <c r="O65" s="11" t="inlineStr"/>
    </row>
    <row r="66">
      <c r="A66" s="11" t="inlineStr">
        <is>
          <t>Module</t>
        </is>
      </c>
      <c r="B66" s="11" t="inlineStr">
        <is>
          <t>02-02</t>
        </is>
      </c>
      <c r="C66" s="11" t="inlineStr">
        <is>
          <t>02-Prompt-Engineering</t>
        </is>
      </c>
      <c r="D66" s="11" t="n">
        <v>6</v>
      </c>
      <c r="E66" s="11" t="inlineStr">
        <is>
          <t>OpenAI Prompt Engineering</t>
        </is>
      </c>
      <c r="F66" s="12" t="inlineStr">
        <is>
          <t>https://developers.openai.com/api/docs/guides/prompt-engineering</t>
        </is>
      </c>
      <c r="G66" s="12">
        <f>IF(F66="","",HYPERLINK(F66,"Open link"))</f>
        <v/>
      </c>
      <c r="H66" s="12">
        <f>IF(M66="","",IF(Config!$B$6="GitHub",HYPERLINK(Config!$B$5&amp;M66,"Open parent doc"),HYPERLINK("file://"&amp;Config!$B$4&amp;M66,"Open parent doc")))</f>
        <v/>
      </c>
      <c r="I66" s="11" t="inlineStr">
        <is>
          <t>Intro</t>
        </is>
      </c>
      <c r="J66" s="11" t="inlineStr">
        <is>
          <t>30 min</t>
        </is>
      </c>
      <c r="K66" s="11" t="inlineStr">
        <is>
          <t>Tool description craft</t>
        </is>
      </c>
      <c r="L66" s="11" t="inlineStr">
        <is>
          <t>Clear instructions</t>
        </is>
      </c>
      <c r="M66" s="11" t="inlineStr">
        <is>
          <t>Modules/02-Prompt-Engineering/02-02-Structured-Outputs-Tool-Calling.md</t>
        </is>
      </c>
      <c r="N66" s="11" t="inlineStr">
        <is>
          <t>No</t>
        </is>
      </c>
      <c r="O66" s="11" t="inlineStr"/>
    </row>
    <row r="67">
      <c r="A67" s="11" t="inlineStr">
        <is>
          <t>Module</t>
        </is>
      </c>
      <c r="B67" s="11" t="inlineStr">
        <is>
          <t>02-02</t>
        </is>
      </c>
      <c r="C67" s="11" t="inlineStr">
        <is>
          <t>02-Prompt-Engineering</t>
        </is>
      </c>
      <c r="D67" s="11" t="n">
        <v>7</v>
      </c>
      <c r="E67" s="11" t="inlineStr">
        <is>
          <t>JSON Schema Spec</t>
        </is>
      </c>
      <c r="F67" s="12" t="inlineStr">
        <is>
          <t>https://json-schema.org/learn/getting-started-step-by-step</t>
        </is>
      </c>
      <c r="G67" s="12">
        <f>IF(F67="","",HYPERLINK(F67,"Open link"))</f>
        <v/>
      </c>
      <c r="H67" s="12">
        <f>IF(M67="","",IF(Config!$B$6="GitHub",HYPERLINK(Config!$B$5&amp;M67,"Open parent doc"),HYPERLINK("file://"&amp;Config!$B$4&amp;M67,"Open parent doc")))</f>
        <v/>
      </c>
      <c r="I67" s="11" t="inlineStr">
        <is>
          <t>Intermediate</t>
        </is>
      </c>
      <c r="J67" s="11" t="inlineStr">
        <is>
          <t>45 min</t>
        </is>
      </c>
      <c r="K67" s="11" t="inlineStr">
        <is>
          <t>Schema limits</t>
        </is>
      </c>
      <c r="L67" s="11" t="inlineStr">
        <is>
          <t>Types; required; enums</t>
        </is>
      </c>
      <c r="M67" s="11" t="inlineStr">
        <is>
          <t>Modules/02-Prompt-Engineering/02-02-Structured-Outputs-Tool-Calling.md</t>
        </is>
      </c>
      <c r="N67" s="11" t="inlineStr">
        <is>
          <t>No</t>
        </is>
      </c>
      <c r="O67" s="11" t="inlineStr"/>
    </row>
    <row r="68">
      <c r="A68" s="11" t="inlineStr">
        <is>
          <t>Module</t>
        </is>
      </c>
      <c r="B68" s="11" t="inlineStr">
        <is>
          <t>03-01</t>
        </is>
      </c>
      <c r="C68" s="11" t="inlineStr">
        <is>
          <t>03-Agentic-Fundamentals</t>
        </is>
      </c>
      <c r="D68" s="11" t="n">
        <v>1</v>
      </c>
      <c r="E68" s="11" t="inlineStr">
        <is>
          <t>LangGraph High-Level Concepts</t>
        </is>
      </c>
      <c r="F68" s="12" t="inlineStr">
        <is>
          <t>https://langchain-ai.github.io/langgraph/concepts/high_level/</t>
        </is>
      </c>
      <c r="G68" s="12">
        <f>IF(F68="","",HYPERLINK(F68,"Open link"))</f>
        <v/>
      </c>
      <c r="H68" s="12">
        <f>IF(M68="","",IF(Config!$B$6="GitHub",HYPERLINK(Config!$B$5&amp;M68,"Open parent doc"),HYPERLINK("file://"&amp;Config!$B$4&amp;M68,"Open parent doc")))</f>
        <v/>
      </c>
      <c r="I68" s="11" t="inlineStr">
        <is>
          <t>Intro</t>
        </is>
      </c>
      <c r="J68" s="11" t="inlineStr">
        <is>
          <t>25 min</t>
        </is>
      </c>
      <c r="K68" s="11" t="inlineStr">
        <is>
          <t>Official mental model for graphs + persistence</t>
        </is>
      </c>
      <c r="L68" s="11" t="inlineStr">
        <is>
          <t>Benefits; state; compile</t>
        </is>
      </c>
      <c r="M68" s="11" t="inlineStr">
        <is>
          <t>Modules/03-Agentic-Fundamentals/03-01-Agent-Anatomy-and-Loop.md</t>
        </is>
      </c>
      <c r="N68" s="11" t="inlineStr">
        <is>
          <t>No</t>
        </is>
      </c>
      <c r="O68" s="11" t="inlineStr"/>
    </row>
    <row r="69">
      <c r="A69" s="11" t="inlineStr">
        <is>
          <t>Module</t>
        </is>
      </c>
      <c r="B69" s="11" t="inlineStr">
        <is>
          <t>03-01</t>
        </is>
      </c>
      <c r="C69" s="11" t="inlineStr">
        <is>
          <t>03-Agentic-Fundamentals</t>
        </is>
      </c>
      <c r="D69" s="11" t="n">
        <v>2</v>
      </c>
      <c r="E69" s="11" t="inlineStr">
        <is>
          <t>LangGraph Memory</t>
        </is>
      </c>
      <c r="F69" s="12" t="inlineStr">
        <is>
          <t>https://langchain-ai.github.io/langgraph/concepts/memory/</t>
        </is>
      </c>
      <c r="G69" s="12">
        <f>IF(F69="","",HYPERLINK(F69,"Open link"))</f>
        <v/>
      </c>
      <c r="H69" s="12">
        <f>IF(M69="","",IF(Config!$B$6="GitHub",HYPERLINK(Config!$B$5&amp;M69,"Open parent doc"),HYPERLINK("file://"&amp;Config!$B$4&amp;M69,"Open parent doc")))</f>
        <v/>
      </c>
      <c r="I69" s="11" t="inlineStr">
        <is>
          <t>Intermediate</t>
        </is>
      </c>
      <c r="J69" s="11" t="inlineStr">
        <is>
          <t>30 min</t>
        </is>
      </c>
      <c r="K69" s="11" t="inlineStr">
        <is>
          <t>Short vs long-term in graph terms</t>
        </is>
      </c>
      <c r="L69" s="11" t="inlineStr">
        <is>
          <t>Memory types; when to summarize</t>
        </is>
      </c>
      <c r="M69" s="11" t="inlineStr">
        <is>
          <t>Modules/03-Agentic-Fundamentals/03-01-Agent-Anatomy-and-Loop.md</t>
        </is>
      </c>
      <c r="N69" s="11" t="inlineStr">
        <is>
          <t>No</t>
        </is>
      </c>
      <c r="O69" s="11" t="inlineStr"/>
    </row>
    <row r="70">
      <c r="A70" s="11" t="inlineStr">
        <is>
          <t>Module</t>
        </is>
      </c>
      <c r="B70" s="11" t="inlineStr">
        <is>
          <t>03-01</t>
        </is>
      </c>
      <c r="C70" s="11" t="inlineStr">
        <is>
          <t>03-Agentic-Fundamentals</t>
        </is>
      </c>
      <c r="D70" s="11" t="n">
        <v>3</v>
      </c>
      <c r="E70" s="11" t="inlineStr">
        <is>
          <t>LangGraph Persistence</t>
        </is>
      </c>
      <c r="F70" s="12" t="inlineStr">
        <is>
          <t>https://langchain-ai.github.io/langgraph/concepts/persistence/</t>
        </is>
      </c>
      <c r="G70" s="12">
        <f>IF(F70="","",HYPERLINK(F70,"Open link"))</f>
        <v/>
      </c>
      <c r="H70" s="12">
        <f>IF(M70="","",IF(Config!$B$6="GitHub",HYPERLINK(Config!$B$5&amp;M70,"Open parent doc"),HYPERLINK("file://"&amp;Config!$B$4&amp;M70,"Open parent doc")))</f>
        <v/>
      </c>
      <c r="I70" s="11" t="inlineStr">
        <is>
          <t>Intermediate</t>
        </is>
      </c>
      <c r="J70" s="11" t="inlineStr">
        <is>
          <t>30 min</t>
        </is>
      </c>
      <c r="K70" s="11" t="inlineStr">
        <is>
          <t>Checkpointing threads</t>
        </is>
      </c>
      <c r="L70" s="11" t="inlineStr">
        <is>
          <t>Checkpointers; thread_id</t>
        </is>
      </c>
      <c r="M70" s="11" t="inlineStr">
        <is>
          <t>Modules/03-Agentic-Fundamentals/03-01-Agent-Anatomy-and-Loop.md</t>
        </is>
      </c>
      <c r="N70" s="11" t="inlineStr">
        <is>
          <t>No</t>
        </is>
      </c>
      <c r="O70" s="11" t="inlineStr"/>
    </row>
    <row r="71">
      <c r="A71" s="11" t="inlineStr">
        <is>
          <t>Module</t>
        </is>
      </c>
      <c r="B71" s="11" t="inlineStr">
        <is>
          <t>03-01</t>
        </is>
      </c>
      <c r="C71" s="11" t="inlineStr">
        <is>
          <t>03-Agentic-Fundamentals</t>
        </is>
      </c>
      <c r="D71" s="11" t="n">
        <v>4</v>
      </c>
      <c r="E71" s="11" t="inlineStr">
        <is>
          <t>LangChain Tools</t>
        </is>
      </c>
      <c r="F71" s="12" t="inlineStr">
        <is>
          <t>https://python.langchain.com/docs/concepts/tools/</t>
        </is>
      </c>
      <c r="G71" s="12">
        <f>IF(F71="","",HYPERLINK(F71,"Open link"))</f>
        <v/>
      </c>
      <c r="H71" s="12">
        <f>IF(M71="","",IF(Config!$B$6="GitHub",HYPERLINK(Config!$B$5&amp;M71,"Open parent doc"),HYPERLINK("file://"&amp;Config!$B$4&amp;M71,"Open parent doc")))</f>
        <v/>
      </c>
      <c r="I71" s="11" t="inlineStr">
        <is>
          <t>Intro</t>
        </is>
      </c>
      <c r="J71" s="11" t="inlineStr">
        <is>
          <t>20 min</t>
        </is>
      </c>
      <c r="K71" s="11" t="inlineStr">
        <is>
          <t>Tool contracts for Act phase</t>
        </is>
      </c>
      <c r="L71" s="11" t="inlineStr">
        <is>
          <t>Tool definition; binding</t>
        </is>
      </c>
      <c r="M71" s="11" t="inlineStr">
        <is>
          <t>Modules/03-Agentic-Fundamentals/03-01-Agent-Anatomy-and-Loop.md</t>
        </is>
      </c>
      <c r="N71" s="11" t="inlineStr">
        <is>
          <t>No</t>
        </is>
      </c>
      <c r="O71" s="11" t="inlineStr"/>
    </row>
    <row r="72">
      <c r="A72" s="11" t="inlineStr">
        <is>
          <t>Module</t>
        </is>
      </c>
      <c r="B72" s="11" t="inlineStr">
        <is>
          <t>03-01</t>
        </is>
      </c>
      <c r="C72" s="11" t="inlineStr">
        <is>
          <t>03-Agentic-Fundamentals</t>
        </is>
      </c>
      <c r="D72" s="11" t="n">
        <v>5</v>
      </c>
      <c r="E72" s="11" t="inlineStr">
        <is>
          <t>ReAct Paper</t>
        </is>
      </c>
      <c r="F72" s="12" t="inlineStr">
        <is>
          <t>https://arxiv.org/abs/2210.03629</t>
        </is>
      </c>
      <c r="G72" s="12">
        <f>IF(F72="","",HYPERLINK(F72,"Open link"))</f>
        <v/>
      </c>
      <c r="H72" s="12">
        <f>IF(M72="","",IF(Config!$B$6="GitHub",HYPERLINK(Config!$B$5&amp;M72,"Open parent doc"),HYPERLINK("file://"&amp;Config!$B$4&amp;M72,"Open parent doc")))</f>
        <v/>
      </c>
      <c r="I72" s="11" t="inlineStr">
        <is>
          <t>Intermediate</t>
        </is>
      </c>
      <c r="J72" s="11" t="inlineStr">
        <is>
          <t>45 min</t>
        </is>
      </c>
      <c r="K72" s="11" t="inlineStr">
        <is>
          <t>Original Think-Act-Observe</t>
        </is>
      </c>
      <c r="L72" s="11" t="inlineStr">
        <is>
          <t>Figures; prompting templates</t>
        </is>
      </c>
      <c r="M72" s="11" t="inlineStr">
        <is>
          <t>Modules/03-Agentic-Fundamentals/03-01-Agent-Anatomy-and-Loop.md</t>
        </is>
      </c>
      <c r="N72" s="11" t="inlineStr">
        <is>
          <t>No</t>
        </is>
      </c>
      <c r="O72" s="11" t="inlineStr"/>
    </row>
    <row r="73">
      <c r="A73" s="11" t="inlineStr">
        <is>
          <t>Module</t>
        </is>
      </c>
      <c r="B73" s="11" t="inlineStr">
        <is>
          <t>03-02</t>
        </is>
      </c>
      <c r="C73" s="11" t="inlineStr">
        <is>
          <t>03-Agentic-Fundamentals</t>
        </is>
      </c>
      <c r="D73" s="11" t="n">
        <v>1</v>
      </c>
      <c r="E73" s="11" t="inlineStr">
        <is>
          <t>LangChain Tools</t>
        </is>
      </c>
      <c r="F73" s="12" t="inlineStr">
        <is>
          <t>https://python.langchain.com/docs/concepts/tools/</t>
        </is>
      </c>
      <c r="G73" s="12">
        <f>IF(F73="","",HYPERLINK(F73,"Open link"))</f>
        <v/>
      </c>
      <c r="H73" s="12">
        <f>IF(M73="","",IF(Config!$B$6="GitHub",HYPERLINK(Config!$B$5&amp;M73,"Open parent doc"),HYPERLINK("file://"&amp;Config!$B$4&amp;M73,"Open parent doc")))</f>
        <v/>
      </c>
      <c r="I73" s="11" t="inlineStr">
        <is>
          <t>Intro</t>
        </is>
      </c>
      <c r="J73" s="11" t="inlineStr">
        <is>
          <t>25 min</t>
        </is>
      </c>
      <c r="K73" s="11" t="inlineStr">
        <is>
          <t>Tool definition + binding</t>
        </is>
      </c>
      <c r="L73" s="11" t="inlineStr">
        <is>
          <t>Creating tools; toolkits</t>
        </is>
      </c>
      <c r="M73" s="11" t="inlineStr">
        <is>
          <t>Modules/03-Agentic-Fundamentals/03-02-Tools-Memory-Control-Flow.md</t>
        </is>
      </c>
      <c r="N73" s="11" t="inlineStr">
        <is>
          <t>No</t>
        </is>
      </c>
      <c r="O73" s="11" t="inlineStr"/>
    </row>
    <row r="74">
      <c r="A74" s="11" t="inlineStr">
        <is>
          <t>Module</t>
        </is>
      </c>
      <c r="B74" s="11" t="inlineStr">
        <is>
          <t>03-02</t>
        </is>
      </c>
      <c r="C74" s="11" t="inlineStr">
        <is>
          <t>03-Agentic-Fundamentals</t>
        </is>
      </c>
      <c r="D74" s="11" t="n">
        <v>2</v>
      </c>
      <c r="E74" s="11" t="inlineStr">
        <is>
          <t>LangGraph Memory</t>
        </is>
      </c>
      <c r="F74" s="12" t="inlineStr">
        <is>
          <t>https://langchain-ai.github.io/langgraph/concepts/memory/</t>
        </is>
      </c>
      <c r="G74" s="12">
        <f>IF(F74="","",HYPERLINK(F74,"Open link"))</f>
        <v/>
      </c>
      <c r="H74" s="12">
        <f>IF(M74="","",IF(Config!$B$6="GitHub",HYPERLINK(Config!$B$5&amp;M74,"Open parent doc"),HYPERLINK("file://"&amp;Config!$B$4&amp;M74,"Open parent doc")))</f>
        <v/>
      </c>
      <c r="I74" s="11" t="inlineStr">
        <is>
          <t>Intermediate</t>
        </is>
      </c>
      <c r="J74" s="11" t="inlineStr">
        <is>
          <t>35 min</t>
        </is>
      </c>
      <c r="K74" s="11" t="inlineStr">
        <is>
          <t>STM/LTM patterns</t>
        </is>
      </c>
      <c r="L74" s="11" t="inlineStr">
        <is>
          <t>Memory types; summarization</t>
        </is>
      </c>
      <c r="M74" s="11" t="inlineStr">
        <is>
          <t>Modules/03-Agentic-Fundamentals/03-02-Tools-Memory-Control-Flow.md</t>
        </is>
      </c>
      <c r="N74" s="11" t="inlineStr">
        <is>
          <t>No</t>
        </is>
      </c>
      <c r="O74" s="11" t="inlineStr"/>
    </row>
    <row r="75">
      <c r="A75" s="11" t="inlineStr">
        <is>
          <t>Module</t>
        </is>
      </c>
      <c r="B75" s="11" t="inlineStr">
        <is>
          <t>03-02</t>
        </is>
      </c>
      <c r="C75" s="11" t="inlineStr">
        <is>
          <t>03-Agentic-Fundamentals</t>
        </is>
      </c>
      <c r="D75" s="11" t="n">
        <v>3</v>
      </c>
      <c r="E75" s="11" t="inlineStr">
        <is>
          <t>LangGraph Persistence</t>
        </is>
      </c>
      <c r="F75" s="12" t="inlineStr">
        <is>
          <t>https://langchain-ai.github.io/langgraph/concepts/persistence/</t>
        </is>
      </c>
      <c r="G75" s="12">
        <f>IF(F75="","",HYPERLINK(F75,"Open link"))</f>
        <v/>
      </c>
      <c r="H75" s="12">
        <f>IF(M75="","",IF(Config!$B$6="GitHub",HYPERLINK(Config!$B$5&amp;M75,"Open parent doc"),HYPERLINK("file://"&amp;Config!$B$4&amp;M75,"Open parent doc")))</f>
        <v/>
      </c>
      <c r="I75" s="11" t="inlineStr">
        <is>
          <t>Intermediate</t>
        </is>
      </c>
      <c r="J75" s="11" t="inlineStr">
        <is>
          <t>35 min</t>
        </is>
      </c>
      <c r="K75" s="11" t="inlineStr">
        <is>
          <t>Checkpointers deep dive</t>
        </is>
      </c>
      <c r="L75" s="11" t="inlineStr">
        <is>
          <t>Threads; interrupts</t>
        </is>
      </c>
      <c r="M75" s="11" t="inlineStr">
        <is>
          <t>Modules/03-Agentic-Fundamentals/03-02-Tools-Memory-Control-Flow.md</t>
        </is>
      </c>
      <c r="N75" s="11" t="inlineStr">
        <is>
          <t>No</t>
        </is>
      </c>
      <c r="O75" s="11" t="inlineStr"/>
    </row>
    <row r="76">
      <c r="A76" s="11" t="inlineStr">
        <is>
          <t>Module</t>
        </is>
      </c>
      <c r="B76" s="11" t="inlineStr">
        <is>
          <t>03-02</t>
        </is>
      </c>
      <c r="C76" s="11" t="inlineStr">
        <is>
          <t>03-Agentic-Fundamentals</t>
        </is>
      </c>
      <c r="D76" s="11" t="n">
        <v>4</v>
      </c>
      <c r="E76" s="11" t="inlineStr">
        <is>
          <t>LangGraph High-Level</t>
        </is>
      </c>
      <c r="F76" s="12" t="inlineStr">
        <is>
          <t>https://langchain-ai.github.io/langgraph/concepts/high_level/</t>
        </is>
      </c>
      <c r="G76" s="12">
        <f>IF(F76="","",HYPERLINK(F76,"Open link"))</f>
        <v/>
      </c>
      <c r="H76" s="12">
        <f>IF(M76="","",IF(Config!$B$6="GitHub",HYPERLINK(Config!$B$5&amp;M76,"Open parent doc"),HYPERLINK("file://"&amp;Config!$B$4&amp;M76,"Open parent doc")))</f>
        <v/>
      </c>
      <c r="I76" s="11" t="inlineStr">
        <is>
          <t>Intro</t>
        </is>
      </c>
      <c r="J76" s="11" t="inlineStr">
        <is>
          <t>25 min</t>
        </is>
      </c>
      <c r="K76" s="11" t="inlineStr">
        <is>
          <t>Control flow primitives</t>
        </is>
      </c>
      <c r="L76" s="11" t="inlineStr">
        <is>
          <t>StateGraph; compile</t>
        </is>
      </c>
      <c r="M76" s="11" t="inlineStr">
        <is>
          <t>Modules/03-Agentic-Fundamentals/03-02-Tools-Memory-Control-Flow.md</t>
        </is>
      </c>
      <c r="N76" s="11" t="inlineStr">
        <is>
          <t>No</t>
        </is>
      </c>
      <c r="O76" s="11" t="inlineStr"/>
    </row>
    <row r="77">
      <c r="A77" s="11" t="inlineStr">
        <is>
          <t>Module</t>
        </is>
      </c>
      <c r="B77" s="11" t="inlineStr">
        <is>
          <t>03-02</t>
        </is>
      </c>
      <c r="C77" s="11" t="inlineStr">
        <is>
          <t>03-Agentic-Fundamentals</t>
        </is>
      </c>
      <c r="D77" s="11" t="n">
        <v>5</v>
      </c>
      <c r="E77" s="11" t="inlineStr">
        <is>
          <t>ReAct Paper</t>
        </is>
      </c>
      <c r="F77" s="12" t="inlineStr">
        <is>
          <t>https://arxiv.org/abs/2210.03629</t>
        </is>
      </c>
      <c r="G77" s="12">
        <f>IF(F77="","",HYPERLINK(F77,"Open link"))</f>
        <v/>
      </c>
      <c r="H77" s="12">
        <f>IF(M77="","",IF(Config!$B$6="GitHub",HYPERLINK(Config!$B$5&amp;M77,"Open parent doc"),HYPERLINK("file://"&amp;Config!$B$4&amp;M77,"Open parent doc")))</f>
        <v/>
      </c>
      <c r="I77" s="11" t="inlineStr">
        <is>
          <t>Intermediate</t>
        </is>
      </c>
      <c r="J77" s="11" t="inlineStr">
        <is>
          <t>45 min</t>
        </is>
      </c>
      <c r="K77" s="11" t="inlineStr">
        <is>
          <t>Why observations matter</t>
        </is>
      </c>
      <c r="L77" s="11" t="inlineStr">
        <is>
          <t>Action-observation cycles</t>
        </is>
      </c>
      <c r="M77" s="11" t="inlineStr">
        <is>
          <t>Modules/03-Agentic-Fundamentals/03-02-Tools-Memory-Control-Flow.md</t>
        </is>
      </c>
      <c r="N77" s="11" t="inlineStr">
        <is>
          <t>No</t>
        </is>
      </c>
      <c r="O77" s="11" t="inlineStr"/>
    </row>
    <row r="78">
      <c r="A78" s="11" t="inlineStr">
        <is>
          <t>Module</t>
        </is>
      </c>
      <c r="B78" s="11" t="inlineStr">
        <is>
          <t>03-03</t>
        </is>
      </c>
      <c r="C78" s="11" t="inlineStr">
        <is>
          <t>03-Agentic-Fundamentals</t>
        </is>
      </c>
      <c r="D78" s="11" t="n">
        <v>1</v>
      </c>
      <c r="E78" s="11" t="inlineStr">
        <is>
          <t>LangGraph High Level</t>
        </is>
      </c>
      <c r="F78" s="12" t="inlineStr">
        <is>
          <t>https://langchain-ai.github.io/langgraph/concepts/high_level/</t>
        </is>
      </c>
      <c r="G78" s="12">
        <f>IF(F78="","",HYPERLINK(F78,"Open link"))</f>
        <v/>
      </c>
      <c r="H78" s="12">
        <f>IF(M78="","",IF(Config!$B$6="GitHub",HYPERLINK(Config!$B$5&amp;M78,"Open parent doc"),HYPERLINK("file://"&amp;Config!$B$4&amp;M78,"Open parent doc")))</f>
        <v/>
      </c>
      <c r="I78" s="11" t="inlineStr">
        <is>
          <t>Intro</t>
        </is>
      </c>
      <c r="J78" s="11" t="inlineStr">
        <is>
          <t>25 min</t>
        </is>
      </c>
      <c r="K78" s="11" t="inlineStr">
        <is>
          <t>Runtime mental model</t>
        </is>
      </c>
      <c r="L78" s="11" t="inlineStr">
        <is>
          <t>Persistence; compile</t>
        </is>
      </c>
      <c r="M78" s="11" t="inlineStr">
        <is>
          <t>Modules/03-Agentic-Fundamentals/03-03-LangGraph-Production-Agents.md</t>
        </is>
      </c>
      <c r="N78" s="11" t="inlineStr">
        <is>
          <t>No</t>
        </is>
      </c>
      <c r="O78" s="11" t="inlineStr"/>
    </row>
    <row r="79">
      <c r="A79" s="11" t="inlineStr">
        <is>
          <t>Module</t>
        </is>
      </c>
      <c r="B79" s="11" t="inlineStr">
        <is>
          <t>03-03</t>
        </is>
      </c>
      <c r="C79" s="11" t="inlineStr">
        <is>
          <t>03-Agentic-Fundamentals</t>
        </is>
      </c>
      <c r="D79" s="11" t="n">
        <v>2</v>
      </c>
      <c r="E79" s="11" t="inlineStr">
        <is>
          <t>Human-in-the-Loop</t>
        </is>
      </c>
      <c r="F79" s="12" t="inlineStr">
        <is>
          <t>https://langchain-ai.github.io/langgraph/concepts/human_in_the_loop/</t>
        </is>
      </c>
      <c r="G79" s="12">
        <f>IF(F79="","",HYPERLINK(F79,"Open link"))</f>
        <v/>
      </c>
      <c r="H79" s="12">
        <f>IF(M79="","",IF(Config!$B$6="GitHub",HYPERLINK(Config!$B$5&amp;M79,"Open parent doc"),HYPERLINK("file://"&amp;Config!$B$4&amp;M79,"Open parent doc")))</f>
        <v/>
      </c>
      <c r="I79" s="11" t="inlineStr">
        <is>
          <t>Intermediate</t>
        </is>
      </c>
      <c r="J79" s="11" t="inlineStr">
        <is>
          <t>35 min</t>
        </is>
      </c>
      <c r="K79" s="11" t="inlineStr">
        <is>
          <t>Interrupt/resume</t>
        </is>
      </c>
      <c r="L79" s="11" t="inlineStr">
        <is>
          <t>Breakpoints; Command</t>
        </is>
      </c>
      <c r="M79" s="11" t="inlineStr">
        <is>
          <t>Modules/03-Agentic-Fundamentals/03-03-LangGraph-Production-Agents.md</t>
        </is>
      </c>
      <c r="N79" s="11" t="inlineStr">
        <is>
          <t>No</t>
        </is>
      </c>
      <c r="O79" s="11" t="inlineStr"/>
    </row>
    <row r="80">
      <c r="A80" s="11" t="inlineStr">
        <is>
          <t>Module</t>
        </is>
      </c>
      <c r="B80" s="11" t="inlineStr">
        <is>
          <t>03-03</t>
        </is>
      </c>
      <c r="C80" s="11" t="inlineStr">
        <is>
          <t>03-Agentic-Fundamentals</t>
        </is>
      </c>
      <c r="D80" s="11" t="n">
        <v>3</v>
      </c>
      <c r="E80" s="11" t="inlineStr">
        <is>
          <t>Streaming</t>
        </is>
      </c>
      <c r="F80" s="12" t="inlineStr">
        <is>
          <t>https://langchain-ai.github.io/langgraph/concepts/streaming/</t>
        </is>
      </c>
      <c r="G80" s="12">
        <f>IF(F80="","",HYPERLINK(F80,"Open link"))</f>
        <v/>
      </c>
      <c r="H80" s="12">
        <f>IF(M80="","",IF(Config!$B$6="GitHub",HYPERLINK(Config!$B$5&amp;M80,"Open parent doc"),HYPERLINK("file://"&amp;Config!$B$4&amp;M80,"Open parent doc")))</f>
        <v/>
      </c>
      <c r="I80" s="11" t="inlineStr">
        <is>
          <t>Intermediate</t>
        </is>
      </c>
      <c r="J80" s="11" t="inlineStr">
        <is>
          <t>30 min</t>
        </is>
      </c>
      <c r="K80" s="11" t="inlineStr">
        <is>
          <t>UX + debugging</t>
        </is>
      </c>
      <c r="L80" s="11" t="inlineStr">
        <is>
          <t>stream_mode options</t>
        </is>
      </c>
      <c r="M80" s="11" t="inlineStr">
        <is>
          <t>Modules/03-Agentic-Fundamentals/03-03-LangGraph-Production-Agents.md</t>
        </is>
      </c>
      <c r="N80" s="11" t="inlineStr">
        <is>
          <t>No</t>
        </is>
      </c>
      <c r="O80" s="11" t="inlineStr"/>
    </row>
    <row r="81">
      <c r="A81" s="11" t="inlineStr">
        <is>
          <t>Module</t>
        </is>
      </c>
      <c r="B81" s="11" t="inlineStr">
        <is>
          <t>03-03</t>
        </is>
      </c>
      <c r="C81" s="11" t="inlineStr">
        <is>
          <t>03-Agentic-Fundamentals</t>
        </is>
      </c>
      <c r="D81" s="11" t="n">
        <v>4</v>
      </c>
      <c r="E81" s="11" t="inlineStr">
        <is>
          <t>Multi-Agent</t>
        </is>
      </c>
      <c r="F81" s="12" t="inlineStr">
        <is>
          <t>https://langchain-ai.github.io/langgraph/concepts/multi_agent/</t>
        </is>
      </c>
      <c r="G81" s="12">
        <f>IF(F81="","",HYPERLINK(F81,"Open link"))</f>
        <v/>
      </c>
      <c r="H81" s="12">
        <f>IF(M81="","",IF(Config!$B$6="GitHub",HYPERLINK(Config!$B$5&amp;M81,"Open parent doc"),HYPERLINK("file://"&amp;Config!$B$4&amp;M81,"Open parent doc")))</f>
        <v/>
      </c>
      <c r="I81" s="11" t="inlineStr">
        <is>
          <t>Advanced</t>
        </is>
      </c>
      <c r="J81" s="11" t="inlineStr">
        <is>
          <t>40 min</t>
        </is>
      </c>
      <c r="K81" s="11" t="inlineStr">
        <is>
          <t>When to split graphs</t>
        </is>
      </c>
      <c r="L81" s="11" t="inlineStr">
        <is>
          <t>Supervisor; handoffs</t>
        </is>
      </c>
      <c r="M81" s="11" t="inlineStr">
        <is>
          <t>Modules/03-Agentic-Fundamentals/03-03-LangGraph-Production-Agents.md</t>
        </is>
      </c>
      <c r="N81" s="11" t="inlineStr">
        <is>
          <t>No</t>
        </is>
      </c>
      <c r="O81" s="11" t="inlineStr"/>
    </row>
    <row r="82">
      <c r="A82" s="11" t="inlineStr">
        <is>
          <t>Module</t>
        </is>
      </c>
      <c r="B82" s="11" t="inlineStr">
        <is>
          <t>03-03</t>
        </is>
      </c>
      <c r="C82" s="11" t="inlineStr">
        <is>
          <t>03-Agentic-Fundamentals</t>
        </is>
      </c>
      <c r="D82" s="11" t="n">
        <v>5</v>
      </c>
      <c r="E82" s="11" t="inlineStr">
        <is>
          <t>LangSmith</t>
        </is>
      </c>
      <c r="F82" s="12" t="inlineStr">
        <is>
          <t>https://docs.langchain.com/langsmith/home</t>
        </is>
      </c>
      <c r="G82" s="12">
        <f>IF(F82="","",HYPERLINK(F82,"Open link"))</f>
        <v/>
      </c>
      <c r="H82" s="12">
        <f>IF(M82="","",IF(Config!$B$6="GitHub",HYPERLINK(Config!$B$5&amp;M82,"Open parent doc"),HYPERLINK("file://"&amp;Config!$B$4&amp;M82,"Open parent doc")))</f>
        <v/>
      </c>
      <c r="I82" s="11" t="inlineStr">
        <is>
          <t>Intro</t>
        </is>
      </c>
      <c r="J82" s="11" t="inlineStr">
        <is>
          <t>25 min</t>
        </is>
      </c>
      <c r="K82" s="11" t="inlineStr">
        <is>
          <t>Trace production graphs</t>
        </is>
      </c>
      <c r="L82" s="11" t="inlineStr">
        <is>
          <t>Projects; evaluations</t>
        </is>
      </c>
      <c r="M82" s="11" t="inlineStr">
        <is>
          <t>Modules/03-Agentic-Fundamentals/03-03-LangGraph-Production-Agents.md</t>
        </is>
      </c>
      <c r="N82" s="11" t="inlineStr">
        <is>
          <t>No</t>
        </is>
      </c>
      <c r="O82" s="11" t="inlineStr"/>
    </row>
    <row r="83">
      <c r="A83" s="11" t="inlineStr">
        <is>
          <t>Module</t>
        </is>
      </c>
      <c r="B83" s="11" t="inlineStr">
        <is>
          <t>03-04</t>
        </is>
      </c>
      <c r="C83" s="11" t="inlineStr">
        <is>
          <t>03-Agentic-Fundamentals</t>
        </is>
      </c>
      <c r="D83" s="11" t="n">
        <v>1</v>
      </c>
      <c r="E83" s="11" t="inlineStr">
        <is>
          <t>LangGraph High Level</t>
        </is>
      </c>
      <c r="F83" s="12" t="inlineStr">
        <is>
          <t>https://langchain-ai.github.io/langgraph/concepts/high_level/</t>
        </is>
      </c>
      <c r="G83" s="12">
        <f>IF(F83="","",HYPERLINK(F83,"Open link"))</f>
        <v/>
      </c>
      <c r="H83" s="12">
        <f>IF(M83="","",IF(Config!$B$6="GitHub",HYPERLINK(Config!$B$5&amp;M83,"Open parent doc"),HYPERLINK("file://"&amp;Config!$B$4&amp;M83,"Open parent doc")))</f>
        <v/>
      </c>
      <c r="I83" s="11" t="inlineStr">
        <is>
          <t>Intro</t>
        </is>
      </c>
      <c r="J83" s="11" t="inlineStr">
        <is>
          <t>25 min</t>
        </is>
      </c>
      <c r="K83" s="11" t="inlineStr">
        <is>
          <t>Persistence + HITL foundation for patterns</t>
        </is>
      </c>
      <c r="L83" s="11" t="inlineStr">
        <is>
          <t>Benefits; state; checkpointers</t>
        </is>
      </c>
      <c r="M83" s="11" t="inlineStr">
        <is>
          <t>Modules/03-Agentic-Fundamentals/03-04-Agentic-Design-Patterns.md</t>
        </is>
      </c>
      <c r="N83" s="11" t="inlineStr">
        <is>
          <t>No</t>
        </is>
      </c>
      <c r="O83" s="11" t="inlineStr"/>
    </row>
    <row r="84">
      <c r="A84" s="11" t="inlineStr">
        <is>
          <t>Module</t>
        </is>
      </c>
      <c r="B84" s="11" t="inlineStr">
        <is>
          <t>03-04</t>
        </is>
      </c>
      <c r="C84" s="11" t="inlineStr">
        <is>
          <t>03-Agentic-Fundamentals</t>
        </is>
      </c>
      <c r="D84" s="11" t="n">
        <v>2</v>
      </c>
      <c r="E84" s="11" t="inlineStr">
        <is>
          <t>LangGraph Human-in-the-Loop</t>
        </is>
      </c>
      <c r="F84" s="12" t="inlineStr">
        <is>
          <t>https://langchain-ai.github.io/langgraph/concepts/human_in_the_loop/</t>
        </is>
      </c>
      <c r="G84" s="12">
        <f>IF(F84="","",HYPERLINK(F84,"Open link"))</f>
        <v/>
      </c>
      <c r="H84" s="12">
        <f>IF(M84="","",IF(Config!$B$6="GitHub",HYPERLINK(Config!$B$5&amp;M84,"Open parent doc"),HYPERLINK("file://"&amp;Config!$B$4&amp;M84,"Open parent doc")))</f>
        <v/>
      </c>
      <c r="I84" s="11" t="inlineStr">
        <is>
          <t>Intermediate</t>
        </is>
      </c>
      <c r="J84" s="11" t="inlineStr">
        <is>
          <t>30 min</t>
        </is>
      </c>
      <c r="K84" s="11" t="inlineStr">
        <is>
          <t>Interrupt/resume semantics</t>
        </is>
      </c>
      <c r="L84" s="11" t="inlineStr">
        <is>
          <t>Breakpoints; approve/edit</t>
        </is>
      </c>
      <c r="M84" s="11" t="inlineStr">
        <is>
          <t>Modules/03-Agentic-Fundamentals/03-04-Agentic-Design-Patterns.md</t>
        </is>
      </c>
      <c r="N84" s="11" t="inlineStr">
        <is>
          <t>No</t>
        </is>
      </c>
      <c r="O84" s="11" t="inlineStr"/>
    </row>
    <row r="85">
      <c r="A85" s="11" t="inlineStr">
        <is>
          <t>Module</t>
        </is>
      </c>
      <c r="B85" s="11" t="inlineStr">
        <is>
          <t>03-04</t>
        </is>
      </c>
      <c r="C85" s="11" t="inlineStr">
        <is>
          <t>03-Agentic-Fundamentals</t>
        </is>
      </c>
      <c r="D85" s="11" t="n">
        <v>3</v>
      </c>
      <c r="E85" s="11" t="inlineStr">
        <is>
          <t>ReAct Paper</t>
        </is>
      </c>
      <c r="F85" s="12" t="inlineStr">
        <is>
          <t>https://arxiv.org/abs/2210.03629</t>
        </is>
      </c>
      <c r="G85" s="12">
        <f>IF(F85="","",HYPERLINK(F85,"Open link"))</f>
        <v/>
      </c>
      <c r="H85" s="12">
        <f>IF(M85="","",IF(Config!$B$6="GitHub",HYPERLINK(Config!$B$5&amp;M85,"Open parent doc"),HYPERLINK("file://"&amp;Config!$B$4&amp;M85,"Open parent doc")))</f>
        <v/>
      </c>
      <c r="I85" s="11" t="inlineStr">
        <is>
          <t>Intermediate</t>
        </is>
      </c>
      <c r="J85" s="11" t="inlineStr">
        <is>
          <t>45 min</t>
        </is>
      </c>
      <c r="K85" s="11" t="inlineStr">
        <is>
          <t>Original Think-Act-Observe</t>
        </is>
      </c>
      <c r="L85" s="11" t="inlineStr">
        <is>
          <t>Examples; synergy</t>
        </is>
      </c>
      <c r="M85" s="11" t="inlineStr">
        <is>
          <t>Modules/03-Agentic-Fundamentals/03-04-Agentic-Design-Patterns.md</t>
        </is>
      </c>
      <c r="N85" s="11" t="inlineStr">
        <is>
          <t>No</t>
        </is>
      </c>
      <c r="O85" s="11" t="inlineStr"/>
    </row>
    <row r="86">
      <c r="A86" s="11" t="inlineStr">
        <is>
          <t>Module</t>
        </is>
      </c>
      <c r="B86" s="11" t="inlineStr">
        <is>
          <t>03-04</t>
        </is>
      </c>
      <c r="C86" s="11" t="inlineStr">
        <is>
          <t>03-Agentic-Fundamentals</t>
        </is>
      </c>
      <c r="D86" s="11" t="n">
        <v>4</v>
      </c>
      <c r="E86" s="11" t="inlineStr">
        <is>
          <t>LangSmith</t>
        </is>
      </c>
      <c r="F86" s="12" t="inlineStr">
        <is>
          <t>https://docs.langchain.com/langsmith/home</t>
        </is>
      </c>
      <c r="G86" s="12">
        <f>IF(F86="","",HYPERLINK(F86,"Open link"))</f>
        <v/>
      </c>
      <c r="H86" s="12">
        <f>IF(M86="","",IF(Config!$B$6="GitHub",HYPERLINK(Config!$B$5&amp;M86,"Open parent doc"),HYPERLINK("file://"&amp;Config!$B$4&amp;M86,"Open parent doc")))</f>
        <v/>
      </c>
      <c r="I86" s="11" t="inlineStr">
        <is>
          <t>Intro</t>
        </is>
      </c>
      <c r="J86" s="11" t="inlineStr">
        <is>
          <t>20 min</t>
        </is>
      </c>
      <c r="K86" s="11" t="inlineStr">
        <is>
          <t>Trace routes and tool loops</t>
        </is>
      </c>
      <c r="L86" s="11" t="inlineStr">
        <is>
          <t>Projects; runs; feedback</t>
        </is>
      </c>
      <c r="M86" s="11" t="inlineStr">
        <is>
          <t>Modules/03-Agentic-Fundamentals/03-04-Agentic-Design-Patterns.md</t>
        </is>
      </c>
      <c r="N86" s="11" t="inlineStr">
        <is>
          <t>No</t>
        </is>
      </c>
      <c r="O86" s="11" t="inlineStr"/>
    </row>
    <row r="87">
      <c r="A87" s="11" t="inlineStr">
        <is>
          <t>Module</t>
        </is>
      </c>
      <c r="B87" s="11" t="inlineStr">
        <is>
          <t>04-01</t>
        </is>
      </c>
      <c r="C87" s="11" t="inlineStr">
        <is>
          <t>04-RAG</t>
        </is>
      </c>
      <c r="D87" s="11" t="n">
        <v>1</v>
      </c>
      <c r="E87" s="11" t="inlineStr">
        <is>
          <t>Retrieval-Augmented Generation for Knowledge-Intensive NLP Tasks</t>
        </is>
      </c>
      <c r="F87" s="12" t="inlineStr">
        <is>
          <t>https://arxiv.org/abs/2005.11401</t>
        </is>
      </c>
      <c r="G87" s="12">
        <f>IF(F87="","",HYPERLINK(F87,"Open link"))</f>
        <v/>
      </c>
      <c r="H87" s="12">
        <f>IF(M87="","",IF(Config!$B$6="GitHub",HYPERLINK(Config!$B$5&amp;M87,"Open parent doc"),HYPERLINK("file://"&amp;Config!$B$4&amp;M87,"Open parent doc")))</f>
        <v/>
      </c>
      <c r="I87" s="11" t="inlineStr">
        <is>
          <t>Intermediate</t>
        </is>
      </c>
      <c r="J87" s="11" t="inlineStr">
        <is>
          <t>45–60 min</t>
        </is>
      </c>
      <c r="K87" s="11" t="inlineStr">
        <is>
          <t>Foundational RAG paper</t>
        </is>
      </c>
      <c r="L87" s="11" t="inlineStr">
        <is>
          <t>Architecture; retriever + generator</t>
        </is>
      </c>
      <c r="M87" s="11" t="inlineStr">
        <is>
          <t>Modules/04-RAG/04-01-RAG-Architecture.md</t>
        </is>
      </c>
      <c r="N87" s="11" t="inlineStr">
        <is>
          <t>No</t>
        </is>
      </c>
      <c r="O87" s="11" t="inlineStr"/>
    </row>
    <row r="88">
      <c r="A88" s="11" t="inlineStr">
        <is>
          <t>Module</t>
        </is>
      </c>
      <c r="B88" s="11" t="inlineStr">
        <is>
          <t>04-01</t>
        </is>
      </c>
      <c r="C88" s="11" t="inlineStr">
        <is>
          <t>04-RAG</t>
        </is>
      </c>
      <c r="D88" s="11" t="n">
        <v>2</v>
      </c>
      <c r="E88" s="11" t="inlineStr">
        <is>
          <t>LlamaIndex Documentation</t>
        </is>
      </c>
      <c r="F88" s="12" t="inlineStr">
        <is>
          <t>https://docs.llamaindex.ai/en/stable/</t>
        </is>
      </c>
      <c r="G88" s="12">
        <f>IF(F88="","",HYPERLINK(F88,"Open link"))</f>
        <v/>
      </c>
      <c r="H88" s="12">
        <f>IF(M88="","",IF(Config!$B$6="GitHub",HYPERLINK(Config!$B$5&amp;M88,"Open parent doc"),HYPERLINK("file://"&amp;Config!$B$4&amp;M88,"Open parent doc")))</f>
        <v/>
      </c>
      <c r="I88" s="11" t="inlineStr">
        <is>
          <t>Intro</t>
        </is>
      </c>
      <c r="J88" s="11" t="inlineStr">
        <is>
          <t>30 min</t>
        </is>
      </c>
      <c r="K88" s="11" t="inlineStr">
        <is>
          <t>Framework used in labs</t>
        </is>
      </c>
      <c r="L88" s="11" t="inlineStr">
        <is>
          <t>Indexing; querying; agents</t>
        </is>
      </c>
      <c r="M88" s="11" t="inlineStr">
        <is>
          <t>Modules/04-RAG/04-01-RAG-Architecture.md</t>
        </is>
      </c>
      <c r="N88" s="11" t="inlineStr">
        <is>
          <t>No</t>
        </is>
      </c>
      <c r="O88" s="11" t="inlineStr"/>
    </row>
    <row r="89">
      <c r="A89" s="11" t="inlineStr">
        <is>
          <t>Module</t>
        </is>
      </c>
      <c r="B89" s="11" t="inlineStr">
        <is>
          <t>04-01</t>
        </is>
      </c>
      <c r="C89" s="11" t="inlineStr">
        <is>
          <t>04-RAG</t>
        </is>
      </c>
      <c r="D89" s="11" t="n">
        <v>3</v>
      </c>
      <c r="E89" s="11" t="inlineStr">
        <is>
          <t>LangChain RAG Concept</t>
        </is>
      </c>
      <c r="F89" s="12" t="inlineStr">
        <is>
          <t>https://python.langchain.com/docs/concepts/rag/</t>
        </is>
      </c>
      <c r="G89" s="12">
        <f>IF(F89="","",HYPERLINK(F89,"Open link"))</f>
        <v/>
      </c>
      <c r="H89" s="12">
        <f>IF(M89="","",IF(Config!$B$6="GitHub",HYPERLINK(Config!$B$5&amp;M89,"Open parent doc"),HYPERLINK("file://"&amp;Config!$B$4&amp;M89,"Open parent doc")))</f>
        <v/>
      </c>
      <c r="I89" s="11" t="inlineStr">
        <is>
          <t>Intro</t>
        </is>
      </c>
      <c r="J89" s="11" t="inlineStr">
        <is>
          <t>25 min</t>
        </is>
      </c>
      <c r="K89" s="11" t="inlineStr">
        <is>
          <t>Alternate mental model</t>
        </is>
      </c>
      <c r="L89" s="11" t="inlineStr">
        <is>
          <t>Indexing pipeline; retrieval</t>
        </is>
      </c>
      <c r="M89" s="11" t="inlineStr">
        <is>
          <t>Modules/04-RAG/04-01-RAG-Architecture.md</t>
        </is>
      </c>
      <c r="N89" s="11" t="inlineStr">
        <is>
          <t>No</t>
        </is>
      </c>
      <c r="O89" s="11" t="inlineStr"/>
    </row>
    <row r="90">
      <c r="A90" s="11" t="inlineStr">
        <is>
          <t>Module</t>
        </is>
      </c>
      <c r="B90" s="11" t="inlineStr">
        <is>
          <t>04-01</t>
        </is>
      </c>
      <c r="C90" s="11" t="inlineStr">
        <is>
          <t>04-RAG</t>
        </is>
      </c>
      <c r="D90" s="11" t="n">
        <v>4</v>
      </c>
      <c r="E90" s="11" t="inlineStr">
        <is>
          <t>Pinecone Getting Started</t>
        </is>
      </c>
      <c r="F90" s="12" t="inlineStr">
        <is>
          <t>https://docs.pinecone.io/guides/get-started/overview</t>
        </is>
      </c>
      <c r="G90" s="12">
        <f>IF(F90="","",HYPERLINK(F90,"Open link"))</f>
        <v/>
      </c>
      <c r="H90" s="12">
        <f>IF(M90="","",IF(Config!$B$6="GitHub",HYPERLINK(Config!$B$5&amp;M90,"Open parent doc"),HYPERLINK("file://"&amp;Config!$B$4&amp;M90,"Open parent doc")))</f>
        <v/>
      </c>
      <c r="I90" s="11" t="inlineStr">
        <is>
          <t>Intro</t>
        </is>
      </c>
      <c r="J90" s="11" t="inlineStr">
        <is>
          <t>20 min</t>
        </is>
      </c>
      <c r="K90" s="11" t="inlineStr">
        <is>
          <t>Managed vector index concepts</t>
        </is>
      </c>
      <c r="L90" s="11" t="inlineStr">
        <is>
          <t>Indexes; namespaces; metadata</t>
        </is>
      </c>
      <c r="M90" s="11" t="inlineStr">
        <is>
          <t>Modules/04-RAG/04-01-RAG-Architecture.md</t>
        </is>
      </c>
      <c r="N90" s="11" t="inlineStr">
        <is>
          <t>No</t>
        </is>
      </c>
      <c r="O90" s="11" t="inlineStr"/>
    </row>
    <row r="91">
      <c r="A91" s="11" t="inlineStr">
        <is>
          <t>Module</t>
        </is>
      </c>
      <c r="B91" s="11" t="inlineStr">
        <is>
          <t>04-01</t>
        </is>
      </c>
      <c r="C91" s="11" t="inlineStr">
        <is>
          <t>04-RAG</t>
        </is>
      </c>
      <c r="D91" s="11" t="n">
        <v>5</v>
      </c>
      <c r="E91" s="11" t="inlineStr">
        <is>
          <t>Cohere Rerank Overview</t>
        </is>
      </c>
      <c r="F91" s="12" t="inlineStr">
        <is>
          <t>https://docs.cohere.com/docs/rerank-overview</t>
        </is>
      </c>
      <c r="G91" s="12">
        <f>IF(F91="","",HYPERLINK(F91,"Open link"))</f>
        <v/>
      </c>
      <c r="H91" s="12">
        <f>IF(M91="","",IF(Config!$B$6="GitHub",HYPERLINK(Config!$B$5&amp;M91,"Open parent doc"),HYPERLINK("file://"&amp;Config!$B$4&amp;M91,"Open parent doc")))</f>
        <v/>
      </c>
      <c r="I91" s="11" t="inlineStr">
        <is>
          <t>Intro</t>
        </is>
      </c>
      <c r="J91" s="11" t="inlineStr">
        <is>
          <t>15 min</t>
        </is>
      </c>
      <c r="K91" s="11" t="inlineStr">
        <is>
          <t>Precision layer preview for 04-03</t>
        </is>
      </c>
      <c r="L91" s="11" t="inlineStr">
        <is>
          <t>When to rerank</t>
        </is>
      </c>
      <c r="M91" s="11" t="inlineStr">
        <is>
          <t>Modules/04-RAG/04-01-RAG-Architecture.md</t>
        </is>
      </c>
      <c r="N91" s="11" t="inlineStr">
        <is>
          <t>No</t>
        </is>
      </c>
      <c r="O91" s="11" t="inlineStr"/>
    </row>
    <row r="92">
      <c r="A92" s="11" t="inlineStr">
        <is>
          <t>Module</t>
        </is>
      </c>
      <c r="B92" s="11" t="inlineStr">
        <is>
          <t>04-01</t>
        </is>
      </c>
      <c r="C92" s="11" t="inlineStr">
        <is>
          <t>04-RAG</t>
        </is>
      </c>
      <c r="D92" s="11" t="n">
        <v>6</v>
      </c>
      <c r="E92" s="11" t="inlineStr">
        <is>
          <t>Microsoft GraphRAG</t>
        </is>
      </c>
      <c r="F92" s="12" t="inlineStr">
        <is>
          <t>https://microsoft.github.io/graphrag/</t>
        </is>
      </c>
      <c r="G92" s="12">
        <f>IF(F92="","",HYPERLINK(F92,"Open link"))</f>
        <v/>
      </c>
      <c r="H92" s="12">
        <f>IF(M92="","",IF(Config!$B$6="GitHub",HYPERLINK(Config!$B$5&amp;M92,"Open parent doc"),HYPERLINK("file://"&amp;Config!$B$4&amp;M92,"Open parent doc")))</f>
        <v/>
      </c>
      <c r="I92" s="11" t="inlineStr">
        <is>
          <t>Advanced</t>
        </is>
      </c>
      <c r="J92" s="11" t="inlineStr">
        <is>
          <t>45 min</t>
        </is>
      </c>
      <c r="K92" s="11" t="inlineStr">
        <is>
          <t>Preview advanced grounding (04-04)</t>
        </is>
      </c>
      <c r="L92" s="11" t="inlineStr">
        <is>
          <t>Indexing graphs; global search</t>
        </is>
      </c>
      <c r="M92" s="11" t="inlineStr">
        <is>
          <t>Modules/04-RAG/04-01-RAG-Architecture.md</t>
        </is>
      </c>
      <c r="N92" s="11" t="inlineStr">
        <is>
          <t>No</t>
        </is>
      </c>
      <c r="O92" s="11" t="inlineStr"/>
    </row>
    <row r="93">
      <c r="A93" s="11" t="inlineStr">
        <is>
          <t>Module</t>
        </is>
      </c>
      <c r="B93" s="11" t="inlineStr">
        <is>
          <t>04-02</t>
        </is>
      </c>
      <c r="C93" s="11" t="inlineStr">
        <is>
          <t>04-RAG</t>
        </is>
      </c>
      <c r="D93" s="11" t="n">
        <v>1</v>
      </c>
      <c r="E93" s="11" t="inlineStr">
        <is>
          <t>Retrieval-Augmented Generation (RAG)</t>
        </is>
      </c>
      <c r="F93" s="12" t="inlineStr">
        <is>
          <t>https://arxiv.org/abs/2005.11401</t>
        </is>
      </c>
      <c r="G93" s="12">
        <f>IF(F93="","",HYPERLINK(F93,"Open link"))</f>
        <v/>
      </c>
      <c r="H93" s="12">
        <f>IF(M93="","",IF(Config!$B$6="GitHub",HYPERLINK(Config!$B$5&amp;M93,"Open parent doc"),HYPERLINK("file://"&amp;Config!$B$4&amp;M93,"Open parent doc")))</f>
        <v/>
      </c>
      <c r="I93" s="11" t="inlineStr">
        <is>
          <t>Intermediate</t>
        </is>
      </c>
      <c r="J93" s="11" t="inlineStr">
        <is>
          <t>45 min</t>
        </is>
      </c>
      <c r="K93" s="11" t="inlineStr">
        <is>
          <t>Original retrieve-then-generate framing</t>
        </is>
      </c>
      <c r="L93" s="11" t="inlineStr">
        <is>
          <t>Retriever design motivation</t>
        </is>
      </c>
      <c r="M93" s="11" t="inlineStr">
        <is>
          <t>Modules/04-RAG/04-02-Chunking-Metadata-Embeddings.md</t>
        </is>
      </c>
      <c r="N93" s="11" t="inlineStr">
        <is>
          <t>No</t>
        </is>
      </c>
      <c r="O93" s="11" t="inlineStr"/>
    </row>
    <row r="94">
      <c r="A94" s="11" t="inlineStr">
        <is>
          <t>Module</t>
        </is>
      </c>
      <c r="B94" s="11" t="inlineStr">
        <is>
          <t>04-02</t>
        </is>
      </c>
      <c r="C94" s="11" t="inlineStr">
        <is>
          <t>04-RAG</t>
        </is>
      </c>
      <c r="D94" s="11" t="n">
        <v>2</v>
      </c>
      <c r="E94" s="11" t="inlineStr">
        <is>
          <t>LlamaIndex — Node Parser / Chunking</t>
        </is>
      </c>
      <c r="F94" s="12" t="inlineStr">
        <is>
          <t>https://docs.llamaindex.ai/en/stable/</t>
        </is>
      </c>
      <c r="G94" s="12">
        <f>IF(F94="","",HYPERLINK(F94,"Open link"))</f>
        <v/>
      </c>
      <c r="H94" s="12">
        <f>IF(M94="","",IF(Config!$B$6="GitHub",HYPERLINK(Config!$B$5&amp;M94,"Open parent doc"),HYPERLINK("file://"&amp;Config!$B$4&amp;M94,"Open parent doc")))</f>
        <v/>
      </c>
      <c r="I94" s="11" t="inlineStr">
        <is>
          <t>Intro</t>
        </is>
      </c>
      <c r="J94" s="11" t="inlineStr">
        <is>
          <t>30 min</t>
        </is>
      </c>
      <c r="K94" s="11" t="inlineStr">
        <is>
          <t>Chunking APIs and patterns</t>
        </is>
      </c>
      <c r="L94" s="11" t="inlineStr">
        <is>
          <t>Text splitters; metadata</t>
        </is>
      </c>
      <c r="M94" s="11" t="inlineStr">
        <is>
          <t>Modules/04-RAG/04-02-Chunking-Metadata-Embeddings.md</t>
        </is>
      </c>
      <c r="N94" s="11" t="inlineStr">
        <is>
          <t>No</t>
        </is>
      </c>
      <c r="O94" s="11" t="inlineStr"/>
    </row>
    <row r="95">
      <c r="A95" s="11" t="inlineStr">
        <is>
          <t>Module</t>
        </is>
      </c>
      <c r="B95" s="11" t="inlineStr">
        <is>
          <t>04-02</t>
        </is>
      </c>
      <c r="C95" s="11" t="inlineStr">
        <is>
          <t>04-RAG</t>
        </is>
      </c>
      <c r="D95" s="11" t="n">
        <v>3</v>
      </c>
      <c r="E95" s="11" t="inlineStr">
        <is>
          <t>LangChain RAG Concept</t>
        </is>
      </c>
      <c r="F95" s="12" t="inlineStr">
        <is>
          <t>https://python.langchain.com/docs/concepts/rag/</t>
        </is>
      </c>
      <c r="G95" s="12">
        <f>IF(F95="","",HYPERLINK(F95,"Open link"))</f>
        <v/>
      </c>
      <c r="H95" s="12">
        <f>IF(M95="","",IF(Config!$B$6="GitHub",HYPERLINK(Config!$B$5&amp;M95,"Open parent doc"),HYPERLINK("file://"&amp;Config!$B$4&amp;M95,"Open parent doc")))</f>
        <v/>
      </c>
      <c r="I95" s="11" t="inlineStr">
        <is>
          <t>Intro</t>
        </is>
      </c>
      <c r="J95" s="11" t="inlineStr">
        <is>
          <t>25 min</t>
        </is>
      </c>
      <c r="K95" s="11" t="inlineStr">
        <is>
          <t>Document loaders + splitters</t>
        </is>
      </c>
      <c r="L95" s="11" t="inlineStr">
        <is>
          <t>Indexing steps</t>
        </is>
      </c>
      <c r="M95" s="11" t="inlineStr">
        <is>
          <t>Modules/04-RAG/04-02-Chunking-Metadata-Embeddings.md</t>
        </is>
      </c>
      <c r="N95" s="11" t="inlineStr">
        <is>
          <t>No</t>
        </is>
      </c>
      <c r="O95" s="11" t="inlineStr"/>
    </row>
    <row r="96">
      <c r="A96" s="11" t="inlineStr">
        <is>
          <t>Module</t>
        </is>
      </c>
      <c r="B96" s="11" t="inlineStr">
        <is>
          <t>04-02</t>
        </is>
      </c>
      <c r="C96" s="11" t="inlineStr">
        <is>
          <t>04-RAG</t>
        </is>
      </c>
      <c r="D96" s="11" t="n">
        <v>4</v>
      </c>
      <c r="E96" s="11" t="inlineStr">
        <is>
          <t>Pinecone — Metadata Filtering</t>
        </is>
      </c>
      <c r="F96" s="12" t="inlineStr">
        <is>
          <t>https://docs.pinecone.io/guides/get-started/overview</t>
        </is>
      </c>
      <c r="G96" s="12">
        <f>IF(F96="","",HYPERLINK(F96,"Open link"))</f>
        <v/>
      </c>
      <c r="H96" s="12">
        <f>IF(M96="","",IF(Config!$B$6="GitHub",HYPERLINK(Config!$B$5&amp;M96,"Open parent doc"),HYPERLINK("file://"&amp;Config!$B$4&amp;M96,"Open parent doc")))</f>
        <v/>
      </c>
      <c r="I96" s="11" t="inlineStr">
        <is>
          <t>Intro</t>
        </is>
      </c>
      <c r="J96" s="11" t="inlineStr">
        <is>
          <t>20 min</t>
        </is>
      </c>
      <c r="K96" s="11" t="inlineStr">
        <is>
          <t>Why metadata matters at query time</t>
        </is>
      </c>
      <c r="L96" s="11" t="inlineStr">
        <is>
          <t>Metadata; namespaces</t>
        </is>
      </c>
      <c r="M96" s="11" t="inlineStr">
        <is>
          <t>Modules/04-RAG/04-02-Chunking-Metadata-Embeddings.md</t>
        </is>
      </c>
      <c r="N96" s="11" t="inlineStr">
        <is>
          <t>No</t>
        </is>
      </c>
      <c r="O96" s="11" t="inlineStr"/>
    </row>
    <row r="97">
      <c r="A97" s="11" t="inlineStr">
        <is>
          <t>Module</t>
        </is>
      </c>
      <c r="B97" s="11" t="inlineStr">
        <is>
          <t>04-02</t>
        </is>
      </c>
      <c r="C97" s="11" t="inlineStr">
        <is>
          <t>04-RAG</t>
        </is>
      </c>
      <c r="D97" s="11" t="n">
        <v>5</v>
      </c>
      <c r="E97" s="11" t="inlineStr">
        <is>
          <t>Cohere Rerank Overview</t>
        </is>
      </c>
      <c r="F97" s="12" t="inlineStr">
        <is>
          <t>https://docs.cohere.com/docs/rerank-overview</t>
        </is>
      </c>
      <c r="G97" s="12">
        <f>IF(F97="","",HYPERLINK(F97,"Open link"))</f>
        <v/>
      </c>
      <c r="H97" s="12">
        <f>IF(M97="","",IF(Config!$B$6="GitHub",HYPERLINK(Config!$B$5&amp;M97,"Open parent doc"),HYPERLINK("file://"&amp;Config!$B$4&amp;M97,"Open parent doc")))</f>
        <v/>
      </c>
      <c r="I97" s="11" t="inlineStr">
        <is>
          <t>Intro</t>
        </is>
      </c>
      <c r="J97" s="11" t="inlineStr">
        <is>
          <t>15 min</t>
        </is>
      </c>
      <c r="K97" s="11" t="inlineStr">
        <is>
          <t>Precision after chunk retrieval</t>
        </is>
      </c>
      <c r="L97" s="11" t="inlineStr">
        <is>
          <t>Rerank role</t>
        </is>
      </c>
      <c r="M97" s="11" t="inlineStr">
        <is>
          <t>Modules/04-RAG/04-02-Chunking-Metadata-Embeddings.md</t>
        </is>
      </c>
      <c r="N97" s="11" t="inlineStr">
        <is>
          <t>No</t>
        </is>
      </c>
      <c r="O97" s="11" t="inlineStr"/>
    </row>
    <row r="98">
      <c r="A98" s="11" t="inlineStr">
        <is>
          <t>Module</t>
        </is>
      </c>
      <c r="B98" s="11" t="inlineStr">
        <is>
          <t>04-02</t>
        </is>
      </c>
      <c r="C98" s="11" t="inlineStr">
        <is>
          <t>04-RAG</t>
        </is>
      </c>
      <c r="D98" s="11" t="n">
        <v>6</v>
      </c>
      <c r="E98" s="11" t="inlineStr">
        <is>
          <t>Microsoft GraphRAG</t>
        </is>
      </c>
      <c r="F98" s="12" t="inlineStr">
        <is>
          <t>https://microsoft.github.io/graphrag/</t>
        </is>
      </c>
      <c r="G98" s="12">
        <f>IF(F98="","",HYPERLINK(F98,"Open link"))</f>
        <v/>
      </c>
      <c r="H98" s="12">
        <f>IF(M98="","",IF(Config!$B$6="GitHub",HYPERLINK(Config!$B$5&amp;M98,"Open parent doc"),HYPERLINK("file://"&amp;Config!$B$4&amp;M98,"Open parent doc")))</f>
        <v/>
      </c>
      <c r="I98" s="11" t="inlineStr">
        <is>
          <t>Advanced</t>
        </is>
      </c>
      <c r="J98" s="11" t="inlineStr">
        <is>
          <t>45 min</t>
        </is>
      </c>
      <c r="K98" s="11" t="inlineStr">
        <is>
          <t>Beyond flat chunks (04-04)</t>
        </is>
      </c>
      <c r="L98" s="11" t="inlineStr">
        <is>
          <t>Indexing pipeline</t>
        </is>
      </c>
      <c r="M98" s="11" t="inlineStr">
        <is>
          <t>Modules/04-RAG/04-02-Chunking-Metadata-Embeddings.md</t>
        </is>
      </c>
      <c r="N98" s="11" t="inlineStr">
        <is>
          <t>No</t>
        </is>
      </c>
      <c r="O98" s="11" t="inlineStr"/>
    </row>
    <row r="99">
      <c r="A99" s="11" t="inlineStr">
        <is>
          <t>Module</t>
        </is>
      </c>
      <c r="B99" s="11" t="inlineStr">
        <is>
          <t>04-03</t>
        </is>
      </c>
      <c r="C99" s="11" t="inlineStr">
        <is>
          <t>04-RAG</t>
        </is>
      </c>
      <c r="D99" s="11" t="n">
        <v>1</v>
      </c>
      <c r="E99" s="11" t="inlineStr">
        <is>
          <t>RAG Paper</t>
        </is>
      </c>
      <c r="F99" s="12" t="inlineStr">
        <is>
          <t>https://arxiv.org/abs/2005.11401</t>
        </is>
      </c>
      <c r="G99" s="12">
        <f>IF(F99="","",HYPERLINK(F99,"Open link"))</f>
        <v/>
      </c>
      <c r="H99" s="12">
        <f>IF(M99="","",IF(Config!$B$6="GitHub",HYPERLINK(Config!$B$5&amp;M99,"Open parent doc"),HYPERLINK("file://"&amp;Config!$B$4&amp;M99,"Open parent doc")))</f>
        <v/>
      </c>
      <c r="I99" s="11" t="inlineStr">
        <is>
          <t>Intermediate</t>
        </is>
      </c>
      <c r="J99" s="11" t="inlineStr">
        <is>
          <t>45 min</t>
        </is>
      </c>
      <c r="K99" s="11" t="inlineStr">
        <is>
          <t>Retriever quality drives generation</t>
        </is>
      </c>
      <c r="L99" s="11" t="inlineStr">
        <is>
          <t>Retrieval component</t>
        </is>
      </c>
      <c r="M99" s="11" t="inlineStr">
        <is>
          <t>Modules/04-RAG/04-03-Vector-DB-Hybrid-Search-Reranking.md</t>
        </is>
      </c>
      <c r="N99" s="11" t="inlineStr">
        <is>
          <t>No</t>
        </is>
      </c>
      <c r="O99" s="11" t="inlineStr"/>
    </row>
    <row r="100">
      <c r="A100" s="11" t="inlineStr">
        <is>
          <t>Module</t>
        </is>
      </c>
      <c r="B100" s="11" t="inlineStr">
        <is>
          <t>04-03</t>
        </is>
      </c>
      <c r="C100" s="11" t="inlineStr">
        <is>
          <t>04-RAG</t>
        </is>
      </c>
      <c r="D100" s="11" t="n">
        <v>2</v>
      </c>
      <c r="E100" s="11" t="inlineStr">
        <is>
          <t>LlamaIndex — Vector Stores</t>
        </is>
      </c>
      <c r="F100" s="12" t="inlineStr">
        <is>
          <t>https://docs.llamaindex.ai/en/stable/</t>
        </is>
      </c>
      <c r="G100" s="12">
        <f>IF(F100="","",HYPERLINK(F100,"Open link"))</f>
        <v/>
      </c>
      <c r="H100" s="12">
        <f>IF(M100="","",IF(Config!$B$6="GitHub",HYPERLINK(Config!$B$5&amp;M100,"Open parent doc"),HYPERLINK("file://"&amp;Config!$B$4&amp;M100,"Open parent doc")))</f>
        <v/>
      </c>
      <c r="I100" s="11" t="inlineStr">
        <is>
          <t>Intro</t>
        </is>
      </c>
      <c r="J100" s="11" t="inlineStr">
        <is>
          <t>30 min</t>
        </is>
      </c>
      <c r="K100" s="11" t="inlineStr">
        <is>
          <t>Integrations including Pinecone</t>
        </is>
      </c>
      <c r="L100" s="11" t="inlineStr">
        <is>
          <t>Vector store index</t>
        </is>
      </c>
      <c r="M100" s="11" t="inlineStr">
        <is>
          <t>Modules/04-RAG/04-03-Vector-DB-Hybrid-Search-Reranking.md</t>
        </is>
      </c>
      <c r="N100" s="11" t="inlineStr">
        <is>
          <t>No</t>
        </is>
      </c>
      <c r="O100" s="11" t="inlineStr"/>
    </row>
    <row r="101">
      <c r="A101" s="11" t="inlineStr">
        <is>
          <t>Module</t>
        </is>
      </c>
      <c r="B101" s="11" t="inlineStr">
        <is>
          <t>04-03</t>
        </is>
      </c>
      <c r="C101" s="11" t="inlineStr">
        <is>
          <t>04-RAG</t>
        </is>
      </c>
      <c r="D101" s="11" t="n">
        <v>3</v>
      </c>
      <c r="E101" s="11" t="inlineStr">
        <is>
          <t>LangChain RAG</t>
        </is>
      </c>
      <c r="F101" s="12" t="inlineStr">
        <is>
          <t>https://python.langchain.com/docs/concepts/rag/</t>
        </is>
      </c>
      <c r="G101" s="12">
        <f>IF(F101="","",HYPERLINK(F101,"Open link"))</f>
        <v/>
      </c>
      <c r="H101" s="12">
        <f>IF(M101="","",IF(Config!$B$6="GitHub",HYPERLINK(Config!$B$5&amp;M101,"Open parent doc"),HYPERLINK("file://"&amp;Config!$B$4&amp;M101,"Open parent doc")))</f>
        <v/>
      </c>
      <c r="I101" s="11" t="inlineStr">
        <is>
          <t>Intro</t>
        </is>
      </c>
      <c r="J101" s="11" t="inlineStr">
        <is>
          <t>25 min</t>
        </is>
      </c>
      <c r="K101" s="11" t="inlineStr">
        <is>
          <t>Retriever + document chain</t>
        </is>
      </c>
      <c r="L101" s="11" t="inlineStr">
        <is>
          <t>Retrieval</t>
        </is>
      </c>
      <c r="M101" s="11" t="inlineStr">
        <is>
          <t>Modules/04-RAG/04-03-Vector-DB-Hybrid-Search-Reranking.md</t>
        </is>
      </c>
      <c r="N101" s="11" t="inlineStr">
        <is>
          <t>No</t>
        </is>
      </c>
      <c r="O101" s="11" t="inlineStr"/>
    </row>
    <row r="102">
      <c r="A102" s="11" t="inlineStr">
        <is>
          <t>Module</t>
        </is>
      </c>
      <c r="B102" s="11" t="inlineStr">
        <is>
          <t>04-03</t>
        </is>
      </c>
      <c r="C102" s="11" t="inlineStr">
        <is>
          <t>04-RAG</t>
        </is>
      </c>
      <c r="D102" s="11" t="n">
        <v>4</v>
      </c>
      <c r="E102" s="11" t="inlineStr">
        <is>
          <t>Pinecone Overview</t>
        </is>
      </c>
      <c r="F102" s="12" t="inlineStr">
        <is>
          <t>https://docs.pinecone.io/guides/get-started/overview</t>
        </is>
      </c>
      <c r="G102" s="12">
        <f>IF(F102="","",HYPERLINK(F102,"Open link"))</f>
        <v/>
      </c>
      <c r="H102" s="12">
        <f>IF(M102="","",IF(Config!$B$6="GitHub",HYPERLINK(Config!$B$5&amp;M102,"Open parent doc"),HYPERLINK("file://"&amp;Config!$B$4&amp;M102,"Open parent doc")))</f>
        <v/>
      </c>
      <c r="I102" s="11" t="inlineStr">
        <is>
          <t>Intro</t>
        </is>
      </c>
      <c r="J102" s="11" t="inlineStr">
        <is>
          <t>25 min</t>
        </is>
      </c>
      <c r="K102" s="11" t="inlineStr">
        <is>
          <t>Indexes, metadata, query</t>
        </is>
      </c>
      <c r="L102" s="11" t="inlineStr">
        <is>
          <t>Core concepts</t>
        </is>
      </c>
      <c r="M102" s="11" t="inlineStr">
        <is>
          <t>Modules/04-RAG/04-03-Vector-DB-Hybrid-Search-Reranking.md</t>
        </is>
      </c>
      <c r="N102" s="11" t="inlineStr">
        <is>
          <t>No</t>
        </is>
      </c>
      <c r="O102" s="11" t="inlineStr"/>
    </row>
    <row r="103">
      <c r="A103" s="11" t="inlineStr">
        <is>
          <t>Module</t>
        </is>
      </c>
      <c r="B103" s="11" t="inlineStr">
        <is>
          <t>04-03</t>
        </is>
      </c>
      <c r="C103" s="11" t="inlineStr">
        <is>
          <t>04-RAG</t>
        </is>
      </c>
      <c r="D103" s="11" t="n">
        <v>5</v>
      </c>
      <c r="E103" s="11" t="inlineStr">
        <is>
          <t>Cohere Rerank</t>
        </is>
      </c>
      <c r="F103" s="12" t="inlineStr">
        <is>
          <t>https://docs.cohere.com/docs/rerank-overview</t>
        </is>
      </c>
      <c r="G103" s="12">
        <f>IF(F103="","",HYPERLINK(F103,"Open link"))</f>
        <v/>
      </c>
      <c r="H103" s="12">
        <f>IF(M103="","",IF(Config!$B$6="GitHub",HYPERLINK(Config!$B$5&amp;M103,"Open parent doc"),HYPERLINK("file://"&amp;Config!$B$4&amp;M103,"Open parent doc")))</f>
        <v/>
      </c>
      <c r="I103" s="11" t="inlineStr">
        <is>
          <t>Intro</t>
        </is>
      </c>
      <c r="J103" s="11" t="inlineStr">
        <is>
          <t>20 min</t>
        </is>
      </c>
      <c r="K103" s="11" t="inlineStr">
        <is>
          <t>Rerank API and use cases</t>
        </is>
      </c>
      <c r="L103" s="11" t="inlineStr">
        <is>
          <t>How rerank works</t>
        </is>
      </c>
      <c r="M103" s="11" t="inlineStr">
        <is>
          <t>Modules/04-RAG/04-03-Vector-DB-Hybrid-Search-Reranking.md</t>
        </is>
      </c>
      <c r="N103" s="11" t="inlineStr">
        <is>
          <t>No</t>
        </is>
      </c>
      <c r="O103" s="11" t="inlineStr"/>
    </row>
    <row r="104">
      <c r="A104" s="11" t="inlineStr">
        <is>
          <t>Module</t>
        </is>
      </c>
      <c r="B104" s="11" t="inlineStr">
        <is>
          <t>04-03</t>
        </is>
      </c>
      <c r="C104" s="11" t="inlineStr">
        <is>
          <t>04-RAG</t>
        </is>
      </c>
      <c r="D104" s="11" t="n">
        <v>6</v>
      </c>
      <c r="E104" s="11" t="inlineStr">
        <is>
          <t>Microsoft GraphRAG</t>
        </is>
      </c>
      <c r="F104" s="12" t="inlineStr">
        <is>
          <t>https://microsoft.github.io/graphrag/</t>
        </is>
      </c>
      <c r="G104" s="12">
        <f>IF(F104="","",HYPERLINK(F104,"Open link"))</f>
        <v/>
      </c>
      <c r="H104" s="12">
        <f>IF(M104="","",IF(Config!$B$6="GitHub",HYPERLINK(Config!$B$5&amp;M104,"Open parent doc"),HYPERLINK("file://"&amp;Config!$B$4&amp;M104,"Open parent doc")))</f>
        <v/>
      </c>
      <c r="I104" s="11" t="inlineStr">
        <is>
          <t>Advanced</t>
        </is>
      </c>
      <c r="J104" s="11" t="inlineStr">
        <is>
          <t>45 min</t>
        </is>
      </c>
      <c r="K104" s="11" t="inlineStr">
        <is>
          <t>Graph-based retrieval alternative</t>
        </is>
      </c>
      <c r="L104" s="11" t="inlineStr">
        <is>
          <t>Query modes</t>
        </is>
      </c>
      <c r="M104" s="11" t="inlineStr">
        <is>
          <t>Modules/04-RAG/04-03-Vector-DB-Hybrid-Search-Reranking.md</t>
        </is>
      </c>
      <c r="N104" s="11" t="inlineStr">
        <is>
          <t>No</t>
        </is>
      </c>
      <c r="O104" s="11" t="inlineStr"/>
    </row>
    <row r="105">
      <c r="A105" s="11" t="inlineStr">
        <is>
          <t>Module</t>
        </is>
      </c>
      <c r="B105" s="11" t="inlineStr">
        <is>
          <t>04-04</t>
        </is>
      </c>
      <c r="C105" s="11" t="inlineStr">
        <is>
          <t>04-RAG</t>
        </is>
      </c>
      <c r="D105" s="11" t="n">
        <v>1</v>
      </c>
      <c r="E105" s="11" t="inlineStr">
        <is>
          <t>RAG Paper</t>
        </is>
      </c>
      <c r="F105" s="12" t="inlineStr">
        <is>
          <t>https://arxiv.org/abs/2005.11401</t>
        </is>
      </c>
      <c r="G105" s="12">
        <f>IF(F105="","",HYPERLINK(F105,"Open link"))</f>
        <v/>
      </c>
      <c r="H105" s="12">
        <f>IF(M105="","",IF(Config!$B$6="GitHub",HYPERLINK(Config!$B$5&amp;M105,"Open parent doc"),HYPERLINK("file://"&amp;Config!$B$4&amp;M105,"Open parent doc")))</f>
        <v/>
      </c>
      <c r="I105" s="11" t="inlineStr">
        <is>
          <t>Intermediate</t>
        </is>
      </c>
      <c r="J105" s="11" t="inlineStr">
        <is>
          <t>45 min</t>
        </is>
      </c>
      <c r="K105" s="11" t="inlineStr">
        <is>
          <t>Baseline to compare against</t>
        </is>
      </c>
      <c r="L105" s="11" t="inlineStr">
        <is>
          <t>Full pipeline</t>
        </is>
      </c>
      <c r="M105" s="11" t="inlineStr">
        <is>
          <t>Modules/04-RAG/04-04-Advanced-RAG-HyDE-GraphRAG.md</t>
        </is>
      </c>
      <c r="N105" s="11" t="inlineStr">
        <is>
          <t>No</t>
        </is>
      </c>
      <c r="O105" s="11" t="inlineStr"/>
    </row>
    <row r="106">
      <c r="A106" s="11" t="inlineStr">
        <is>
          <t>Module</t>
        </is>
      </c>
      <c r="B106" s="11" t="inlineStr">
        <is>
          <t>04-04</t>
        </is>
      </c>
      <c r="C106" s="11" t="inlineStr">
        <is>
          <t>04-RAG</t>
        </is>
      </c>
      <c r="D106" s="11" t="n">
        <v>2</v>
      </c>
      <c r="E106" s="11" t="inlineStr">
        <is>
          <t>LlamaIndex Docs</t>
        </is>
      </c>
      <c r="F106" s="12" t="inlineStr">
        <is>
          <t>https://docs.llamaindex.ai/en/stable/</t>
        </is>
      </c>
      <c r="G106" s="12">
        <f>IF(F106="","",HYPERLINK(F106,"Open link"))</f>
        <v/>
      </c>
      <c r="H106" s="12">
        <f>IF(M106="","",IF(Config!$B$6="GitHub",HYPERLINK(Config!$B$5&amp;M106,"Open parent doc"),HYPERLINK("file://"&amp;Config!$B$4&amp;M106,"Open parent doc")))</f>
        <v/>
      </c>
      <c r="I106" s="11" t="inlineStr">
        <is>
          <t>Intro–Advanced</t>
        </is>
      </c>
      <c r="J106" s="11" t="inlineStr">
        <is>
          <t>45 min</t>
        </is>
      </c>
      <c r="K106" s="11" t="inlineStr">
        <is>
          <t>Agentic query engines</t>
        </is>
      </c>
      <c r="L106" s="11" t="inlineStr">
        <is>
          <t>Agents; query pipelines</t>
        </is>
      </c>
      <c r="M106" s="11" t="inlineStr">
        <is>
          <t>Modules/04-RAG/04-04-Advanced-RAG-HyDE-GraphRAG.md</t>
        </is>
      </c>
      <c r="N106" s="11" t="inlineStr">
        <is>
          <t>No</t>
        </is>
      </c>
      <c r="O106" s="11" t="inlineStr"/>
    </row>
    <row r="107">
      <c r="A107" s="11" t="inlineStr">
        <is>
          <t>Module</t>
        </is>
      </c>
      <c r="B107" s="11" t="inlineStr">
        <is>
          <t>04-04</t>
        </is>
      </c>
      <c r="C107" s="11" t="inlineStr">
        <is>
          <t>04-RAG</t>
        </is>
      </c>
      <c r="D107" s="11" t="n">
        <v>3</v>
      </c>
      <c r="E107" s="11" t="inlineStr">
        <is>
          <t>LangChain RAG</t>
        </is>
      </c>
      <c r="F107" s="12" t="inlineStr">
        <is>
          <t>https://python.langchain.com/docs/concepts/rag/</t>
        </is>
      </c>
      <c r="G107" s="12">
        <f>IF(F107="","",HYPERLINK(F107,"Open link"))</f>
        <v/>
      </c>
      <c r="H107" s="12">
        <f>IF(M107="","",IF(Config!$B$6="GitHub",HYPERLINK(Config!$B$5&amp;M107,"Open parent doc"),HYPERLINK("file://"&amp;Config!$B$4&amp;M107,"Open parent doc")))</f>
        <v/>
      </c>
      <c r="I107" s="11" t="inlineStr">
        <is>
          <t>Intro</t>
        </is>
      </c>
      <c r="J107" s="11" t="inlineStr">
        <is>
          <t>25 min</t>
        </is>
      </c>
      <c r="K107" s="11" t="inlineStr">
        <is>
          <t>Multi-query / advanced retrievers</t>
        </is>
      </c>
      <c r="L107" s="11" t="inlineStr">
        <is>
          <t>Advanced patterns</t>
        </is>
      </c>
      <c r="M107" s="11" t="inlineStr">
        <is>
          <t>Modules/04-RAG/04-04-Advanced-RAG-HyDE-GraphRAG.md</t>
        </is>
      </c>
      <c r="N107" s="11" t="inlineStr">
        <is>
          <t>No</t>
        </is>
      </c>
      <c r="O107" s="11" t="inlineStr"/>
    </row>
    <row r="108">
      <c r="A108" s="11" t="inlineStr">
        <is>
          <t>Module</t>
        </is>
      </c>
      <c r="B108" s="11" t="inlineStr">
        <is>
          <t>04-04</t>
        </is>
      </c>
      <c r="C108" s="11" t="inlineStr">
        <is>
          <t>04-RAG</t>
        </is>
      </c>
      <c r="D108" s="11" t="n">
        <v>4</v>
      </c>
      <c r="E108" s="11" t="inlineStr">
        <is>
          <t>Pinecone Overview</t>
        </is>
      </c>
      <c r="F108" s="12" t="inlineStr">
        <is>
          <t>https://docs.pinecone.io/guides/get-started/overview</t>
        </is>
      </c>
      <c r="G108" s="12">
        <f>IF(F108="","",HYPERLINK(F108,"Open link"))</f>
        <v/>
      </c>
      <c r="H108" s="12">
        <f>IF(M108="","",IF(Config!$B$6="GitHub",HYPERLINK(Config!$B$5&amp;M108,"Open parent doc"),HYPERLINK("file://"&amp;Config!$B$4&amp;M108,"Open parent doc")))</f>
        <v/>
      </c>
      <c r="I108" s="11" t="inlineStr">
        <is>
          <t>Intro</t>
        </is>
      </c>
      <c r="J108" s="11" t="inlineStr">
        <is>
          <t>20 min</t>
        </is>
      </c>
      <c r="K108" s="11" t="inlineStr">
        <is>
          <t>Vector foundation for all modes</t>
        </is>
      </c>
      <c r="L108" s="11" t="inlineStr">
        <is>
          <t>Query concepts</t>
        </is>
      </c>
      <c r="M108" s="11" t="inlineStr">
        <is>
          <t>Modules/04-RAG/04-04-Advanced-RAG-HyDE-GraphRAG.md</t>
        </is>
      </c>
      <c r="N108" s="11" t="inlineStr">
        <is>
          <t>No</t>
        </is>
      </c>
      <c r="O108" s="11" t="inlineStr"/>
    </row>
    <row r="109">
      <c r="A109" s="11" t="inlineStr">
        <is>
          <t>Module</t>
        </is>
      </c>
      <c r="B109" s="11" t="inlineStr">
        <is>
          <t>04-04</t>
        </is>
      </c>
      <c r="C109" s="11" t="inlineStr">
        <is>
          <t>04-RAG</t>
        </is>
      </c>
      <c r="D109" s="11" t="n">
        <v>5</v>
      </c>
      <c r="E109" s="11" t="inlineStr">
        <is>
          <t>Cohere Rerank</t>
        </is>
      </c>
      <c r="F109" s="12" t="inlineStr">
        <is>
          <t>https://docs.cohere.com/docs/rerank-overview</t>
        </is>
      </c>
      <c r="G109" s="12">
        <f>IF(F109="","",HYPERLINK(F109,"Open link"))</f>
        <v/>
      </c>
      <c r="H109" s="12">
        <f>IF(M109="","",IF(Config!$B$6="GitHub",HYPERLINK(Config!$B$5&amp;M109,"Open parent doc"),HYPERLINK("file://"&amp;Config!$B$4&amp;M109,"Open parent doc")))</f>
        <v/>
      </c>
      <c r="I109" s="11" t="inlineStr">
        <is>
          <t>Intro</t>
        </is>
      </c>
      <c r="J109" s="11" t="inlineStr">
        <is>
          <t>15 min</t>
        </is>
      </c>
      <c r="K109" s="11" t="inlineStr">
        <is>
          <t>Post-retrieval merge quality</t>
        </is>
      </c>
      <c r="L109" s="11" t="inlineStr">
        <is>
          <t>API usage</t>
        </is>
      </c>
      <c r="M109" s="11" t="inlineStr">
        <is>
          <t>Modules/04-RAG/04-04-Advanced-RAG-HyDE-GraphRAG.md</t>
        </is>
      </c>
      <c r="N109" s="11" t="inlineStr">
        <is>
          <t>No</t>
        </is>
      </c>
      <c r="O109" s="11" t="inlineStr"/>
    </row>
    <row r="110">
      <c r="A110" s="11" t="inlineStr">
        <is>
          <t>Module</t>
        </is>
      </c>
      <c r="B110" s="11" t="inlineStr">
        <is>
          <t>04-04</t>
        </is>
      </c>
      <c r="C110" s="11" t="inlineStr">
        <is>
          <t>04-RAG</t>
        </is>
      </c>
      <c r="D110" s="11" t="n">
        <v>6</v>
      </c>
      <c r="E110" s="11" t="inlineStr">
        <is>
          <t>Microsoft GraphRAG</t>
        </is>
      </c>
      <c r="F110" s="12" t="inlineStr">
        <is>
          <t>https://microsoft.github.io/graphrag/</t>
        </is>
      </c>
      <c r="G110" s="12">
        <f>IF(F110="","",HYPERLINK(F110,"Open link"))</f>
        <v/>
      </c>
      <c r="H110" s="12">
        <f>IF(M110="","",IF(Config!$B$6="GitHub",HYPERLINK(Config!$B$5&amp;M110,"Open parent doc"),HYPERLINK("file://"&amp;Config!$B$4&amp;M110,"Open parent doc")))</f>
        <v/>
      </c>
      <c r="I110" s="11" t="inlineStr">
        <is>
          <t>Advanced</t>
        </is>
      </c>
      <c r="J110" s="11" t="inlineStr">
        <is>
          <t>60 min</t>
        </is>
      </c>
      <c r="K110" s="11" t="inlineStr">
        <is>
          <t>Graph indexing + query modes</t>
        </is>
      </c>
      <c r="L110" s="11" t="inlineStr">
        <is>
          <t>Indexing; local/global search</t>
        </is>
      </c>
      <c r="M110" s="11" t="inlineStr">
        <is>
          <t>Modules/04-RAG/04-04-Advanced-RAG-HyDE-GraphRAG.md</t>
        </is>
      </c>
      <c r="N110" s="11" t="inlineStr">
        <is>
          <t>No</t>
        </is>
      </c>
      <c r="O110" s="11" t="inlineStr"/>
    </row>
    <row r="111">
      <c r="A111" s="11" t="inlineStr">
        <is>
          <t>Module</t>
        </is>
      </c>
      <c r="B111" s="11" t="inlineStr">
        <is>
          <t>05-01</t>
        </is>
      </c>
      <c r="C111" s="11" t="inlineStr">
        <is>
          <t>05-Multi-Agent</t>
        </is>
      </c>
      <c r="D111" s="11" t="n">
        <v>1</v>
      </c>
      <c r="E111" s="11" t="inlineStr">
        <is>
          <t>LangGraph Multi-Agent Concepts</t>
        </is>
      </c>
      <c r="F111" s="12" t="inlineStr">
        <is>
          <t>https://langchain-ai.github.io/langgraph/concepts/multi_agent/</t>
        </is>
      </c>
      <c r="G111" s="12">
        <f>IF(F111="","",HYPERLINK(F111,"Open link"))</f>
        <v/>
      </c>
      <c r="H111" s="12">
        <f>IF(M111="","",IF(Config!$B$6="GitHub",HYPERLINK(Config!$B$5&amp;M111,"Open parent doc"),HYPERLINK("file://"&amp;Config!$B$4&amp;M111,"Open parent doc")))</f>
        <v/>
      </c>
      <c r="I111" s="11" t="inlineStr">
        <is>
          <t>Intermediate</t>
        </is>
      </c>
      <c r="J111" s="11" t="inlineStr">
        <is>
          <t>45 min</t>
        </is>
      </c>
      <c r="K111" s="11" t="inlineStr">
        <is>
          <t>Canonical orchestration primitives</t>
        </is>
      </c>
      <c r="L111" s="11" t="inlineStr">
        <is>
          <t>State; handoffs; supervisor patterns</t>
        </is>
      </c>
      <c r="M111" s="11" t="inlineStr">
        <is>
          <t>Modules/05-Multi-Agent/05-01-Multi-Agent-Orchestration.md</t>
        </is>
      </c>
      <c r="N111" s="11" t="inlineStr">
        <is>
          <t>No</t>
        </is>
      </c>
      <c r="O111" s="11" t="inlineStr"/>
    </row>
    <row r="112">
      <c r="A112" s="11" t="inlineStr">
        <is>
          <t>Module</t>
        </is>
      </c>
      <c r="B112" s="11" t="inlineStr">
        <is>
          <t>05-01</t>
        </is>
      </c>
      <c r="C112" s="11" t="inlineStr">
        <is>
          <t>05-Multi-Agent</t>
        </is>
      </c>
      <c r="D112" s="11" t="n">
        <v>2</v>
      </c>
      <c r="E112" s="11" t="inlineStr">
        <is>
          <t>LangGraph Graph API</t>
        </is>
      </c>
      <c r="F112" s="12" t="inlineStr">
        <is>
          <t>https://langchain-ai.github.io/langgraph/concepts/low_level/</t>
        </is>
      </c>
      <c r="G112" s="12">
        <f>IF(F112="","",HYPERLINK(F112,"Open link"))</f>
        <v/>
      </c>
      <c r="H112" s="12">
        <f>IF(M112="","",IF(Config!$B$6="GitHub",HYPERLINK(Config!$B$5&amp;M112,"Open parent doc"),HYPERLINK("file://"&amp;Config!$B$4&amp;M112,"Open parent doc")))</f>
        <v/>
      </c>
      <c r="I112" s="11" t="inlineStr">
        <is>
          <t>Intermediate</t>
        </is>
      </c>
      <c r="J112" s="11" t="inlineStr">
        <is>
          <t>60 min</t>
        </is>
      </c>
      <c r="K112" s="11" t="inlineStr">
        <is>
          <t>Checkpoints, Command, reducers</t>
        </is>
      </c>
      <c r="L112" s="11" t="inlineStr">
        <is>
          <t>StateGraph; Command; recursion limit</t>
        </is>
      </c>
      <c r="M112" s="11" t="inlineStr">
        <is>
          <t>Modules/05-Multi-Agent/05-01-Multi-Agent-Orchestration.md</t>
        </is>
      </c>
      <c r="N112" s="11" t="inlineStr">
        <is>
          <t>No</t>
        </is>
      </c>
      <c r="O112" s="11" t="inlineStr"/>
    </row>
    <row r="113">
      <c r="A113" s="11" t="inlineStr">
        <is>
          <t>Module</t>
        </is>
      </c>
      <c r="B113" s="11" t="inlineStr">
        <is>
          <t>05-01</t>
        </is>
      </c>
      <c r="C113" s="11" t="inlineStr">
        <is>
          <t>05-Multi-Agent</t>
        </is>
      </c>
      <c r="D113" s="11" t="n">
        <v>3</v>
      </c>
      <c r="E113" s="11" t="inlineStr">
        <is>
          <t>AutoGen Framework</t>
        </is>
      </c>
      <c r="F113" s="12" t="inlineStr">
        <is>
          <t>https://microsoft.github.io/autogen/stable//index.html</t>
        </is>
      </c>
      <c r="G113" s="12">
        <f>IF(F113="","",HYPERLINK(F113,"Open link"))</f>
        <v/>
      </c>
      <c r="H113" s="12">
        <f>IF(M113="","",IF(Config!$B$6="GitHub",HYPERLINK(Config!$B$5&amp;M113,"Open parent doc"),HYPERLINK("file://"&amp;Config!$B$4&amp;M113,"Open parent doc")))</f>
        <v/>
      </c>
      <c r="I113" s="11" t="inlineStr">
        <is>
          <t>Intermediate</t>
        </is>
      </c>
      <c r="J113" s="11" t="inlineStr">
        <is>
          <t>30 min</t>
        </is>
      </c>
      <c r="K113" s="11" t="inlineStr">
        <is>
          <t>Alternative orchestration model</t>
        </is>
      </c>
      <c r="L113" s="11" t="inlineStr">
        <is>
          <t>AgentChat vs Core</t>
        </is>
      </c>
      <c r="M113" s="11" t="inlineStr">
        <is>
          <t>Modules/05-Multi-Agent/05-01-Multi-Agent-Orchestration.md</t>
        </is>
      </c>
      <c r="N113" s="11" t="inlineStr">
        <is>
          <t>No</t>
        </is>
      </c>
      <c r="O113" s="11" t="inlineStr"/>
    </row>
    <row r="114">
      <c r="A114" s="11" t="inlineStr">
        <is>
          <t>Module</t>
        </is>
      </c>
      <c r="B114" s="11" t="inlineStr">
        <is>
          <t>05-01</t>
        </is>
      </c>
      <c r="C114" s="11" t="inlineStr">
        <is>
          <t>05-Multi-Agent</t>
        </is>
      </c>
      <c r="D114" s="11" t="n">
        <v>4</v>
      </c>
      <c r="E114" s="11" t="inlineStr">
        <is>
          <t>CrewAI Documentation</t>
        </is>
      </c>
      <c r="F114" s="12" t="inlineStr">
        <is>
          <t>https://docs.crewai.com/</t>
        </is>
      </c>
      <c r="G114" s="12">
        <f>IF(F114="","",HYPERLINK(F114,"Open link"))</f>
        <v/>
      </c>
      <c r="H114" s="12">
        <f>IF(M114="","",IF(Config!$B$6="GitHub",HYPERLINK(Config!$B$5&amp;M114,"Open parent doc"),HYPERLINK("file://"&amp;Config!$B$4&amp;M114,"Open parent doc")))</f>
        <v/>
      </c>
      <c r="I114" s="11" t="inlineStr">
        <is>
          <t>Intro</t>
        </is>
      </c>
      <c r="J114" s="11" t="inlineStr">
        <is>
          <t>30 min</t>
        </is>
      </c>
      <c r="K114" s="11" t="inlineStr">
        <is>
          <t>Role-based crew mental model</t>
        </is>
      </c>
      <c r="L114" s="11" t="inlineStr">
        <is>
          <t>Agents; tasks; processes</t>
        </is>
      </c>
      <c r="M114" s="11" t="inlineStr">
        <is>
          <t>Modules/05-Multi-Agent/05-01-Multi-Agent-Orchestration.md</t>
        </is>
      </c>
      <c r="N114" s="11" t="inlineStr">
        <is>
          <t>No</t>
        </is>
      </c>
      <c r="O114" s="11" t="inlineStr"/>
    </row>
    <row r="115">
      <c r="A115" s="11" t="inlineStr">
        <is>
          <t>Module</t>
        </is>
      </c>
      <c r="B115" s="11" t="inlineStr">
        <is>
          <t>05-01</t>
        </is>
      </c>
      <c r="C115" s="11" t="inlineStr">
        <is>
          <t>05-Multi-Agent</t>
        </is>
      </c>
      <c r="D115" s="11" t="n">
        <v>5</v>
      </c>
      <c r="E115" s="11" t="inlineStr">
        <is>
          <t>MetaGPT (multi-agent paper)</t>
        </is>
      </c>
      <c r="F115" s="12" t="inlineStr">
        <is>
          <t>https://arxiv.org/abs/2308.08155</t>
        </is>
      </c>
      <c r="G115" s="12">
        <f>IF(F115="","",HYPERLINK(F115,"Open link"))</f>
        <v/>
      </c>
      <c r="H115" s="12">
        <f>IF(M115="","",IF(Config!$B$6="GitHub",HYPERLINK(Config!$B$5&amp;M115,"Open parent doc"),HYPERLINK("file://"&amp;Config!$B$4&amp;M115,"Open parent doc")))</f>
        <v/>
      </c>
      <c r="I115" s="11" t="inlineStr">
        <is>
          <t>Advanced</t>
        </is>
      </c>
      <c r="J115" s="11" t="inlineStr">
        <is>
          <t>45 min</t>
        </is>
      </c>
      <c r="K115" s="11" t="inlineStr">
        <is>
          <t>Academic view of role specialization</t>
        </is>
      </c>
      <c r="L115" s="11" t="inlineStr">
        <is>
          <t>Method; failure modes</t>
        </is>
      </c>
      <c r="M115" s="11" t="inlineStr">
        <is>
          <t>Modules/05-Multi-Agent/05-01-Multi-Agent-Orchestration.md</t>
        </is>
      </c>
      <c r="N115" s="11" t="inlineStr">
        <is>
          <t>No</t>
        </is>
      </c>
      <c r="O115" s="11" t="inlineStr"/>
    </row>
    <row r="116">
      <c r="A116" s="11" t="inlineStr">
        <is>
          <t>Module</t>
        </is>
      </c>
      <c r="B116" s="11" t="inlineStr">
        <is>
          <t>05-02</t>
        </is>
      </c>
      <c r="C116" s="11" t="inlineStr">
        <is>
          <t>05-Multi-Agent</t>
        </is>
      </c>
      <c r="D116" s="11" t="n">
        <v>1</v>
      </c>
      <c r="E116" s="11" t="inlineStr">
        <is>
          <t>LangGraph Multi-Agent</t>
        </is>
      </c>
      <c r="F116" s="12" t="inlineStr">
        <is>
          <t>https://langchain-ai.github.io/langgraph/concepts/multi_agent/</t>
        </is>
      </c>
      <c r="G116" s="12">
        <f>IF(F116="","",HYPERLINK(F116,"Open link"))</f>
        <v/>
      </c>
      <c r="H116" s="12">
        <f>IF(M116="","",IF(Config!$B$6="GitHub",HYPERLINK(Config!$B$5&amp;M116,"Open parent doc"),HYPERLINK("file://"&amp;Config!$B$4&amp;M116,"Open parent doc")))</f>
        <v/>
      </c>
      <c r="I116" s="11" t="inlineStr">
        <is>
          <t>Intermediate</t>
        </is>
      </c>
      <c r="J116" s="11" t="inlineStr">
        <is>
          <t>45 min</t>
        </is>
      </c>
      <c r="K116" s="11" t="inlineStr">
        <is>
          <t>Handoffs, Send, subgraphs</t>
        </is>
      </c>
      <c r="L116" s="11" t="inlineStr">
        <is>
          <t>Multi-agent architectures</t>
        </is>
      </c>
      <c r="M116" s="11" t="inlineStr">
        <is>
          <t>Modules/05-Multi-Agent/05-02-Planner-Executor-Critic.md</t>
        </is>
      </c>
      <c r="N116" s="11" t="inlineStr">
        <is>
          <t>No</t>
        </is>
      </c>
      <c r="O116" s="11" t="inlineStr"/>
    </row>
    <row r="117">
      <c r="A117" s="11" t="inlineStr">
        <is>
          <t>Module</t>
        </is>
      </c>
      <c r="B117" s="11" t="inlineStr">
        <is>
          <t>05-02</t>
        </is>
      </c>
      <c r="C117" s="11" t="inlineStr">
        <is>
          <t>05-Multi-Agent</t>
        </is>
      </c>
      <c r="D117" s="11" t="n">
        <v>2</v>
      </c>
      <c r="E117" s="11" t="inlineStr">
        <is>
          <t>MetaGPT Paper</t>
        </is>
      </c>
      <c r="F117" s="12" t="inlineStr">
        <is>
          <t>https://arxiv.org/abs/2308.08155</t>
        </is>
      </c>
      <c r="G117" s="12">
        <f>IF(F117="","",HYPERLINK(F117,"Open link"))</f>
        <v/>
      </c>
      <c r="H117" s="12">
        <f>IF(M117="","",IF(Config!$B$6="GitHub",HYPERLINK(Config!$B$5&amp;M117,"Open parent doc"),HYPERLINK("file://"&amp;Config!$B$4&amp;M117,"Open parent doc")))</f>
        <v/>
      </c>
      <c r="I117" s="11" t="inlineStr">
        <is>
          <t>Advanced</t>
        </is>
      </c>
      <c r="J117" s="11" t="inlineStr">
        <is>
          <t>45 min</t>
        </is>
      </c>
      <c r="K117" s="11" t="inlineStr">
        <is>
          <t>Role-based decomposition theory</t>
        </is>
      </c>
      <c r="L117" s="11" t="inlineStr">
        <is>
          <t>Method</t>
        </is>
      </c>
      <c r="M117" s="11" t="inlineStr">
        <is>
          <t>Modules/05-Multi-Agent/05-02-Planner-Executor-Critic.md</t>
        </is>
      </c>
      <c r="N117" s="11" t="inlineStr">
        <is>
          <t>No</t>
        </is>
      </c>
      <c r="O117" s="11" t="inlineStr"/>
    </row>
    <row r="118">
      <c r="A118" s="11" t="inlineStr">
        <is>
          <t>Module</t>
        </is>
      </c>
      <c r="B118" s="11" t="inlineStr">
        <is>
          <t>05-03</t>
        </is>
      </c>
      <c r="C118" s="11" t="inlineStr">
        <is>
          <t>05-Multi-Agent</t>
        </is>
      </c>
      <c r="D118" s="11" t="n">
        <v>1</v>
      </c>
      <c r="E118" s="11" t="inlineStr">
        <is>
          <t>LangGraph Multi-Agent</t>
        </is>
      </c>
      <c r="F118" s="12" t="inlineStr">
        <is>
          <t>https://langchain-ai.github.io/langgraph/concepts/multi_agent/</t>
        </is>
      </c>
      <c r="G118" s="12">
        <f>IF(F118="","",HYPERLINK(F118,"Open link"))</f>
        <v/>
      </c>
      <c r="H118" s="12">
        <f>IF(M118="","",IF(Config!$B$6="GitHub",HYPERLINK(Config!$B$5&amp;M118,"Open parent doc"),HYPERLINK("file://"&amp;Config!$B$4&amp;M118,"Open parent doc")))</f>
        <v/>
      </c>
      <c r="I118" s="11" t="inlineStr">
        <is>
          <t>Intermediate</t>
        </is>
      </c>
      <c r="J118" s="11" t="inlineStr">
        <is>
          <t>45 min</t>
        </is>
      </c>
      <c r="K118" s="11" t="inlineStr">
        <is>
          <t>Production graph patterns</t>
        </is>
      </c>
      <c r="L118" s="11" t="inlineStr">
        <is>
          <t>Handoffs; supervisor</t>
        </is>
      </c>
      <c r="M118" s="11" t="inlineStr">
        <is>
          <t>Modules/05-Multi-Agent/05-03-Frameworks-CrewAI-AutoGen-LangGraph.md</t>
        </is>
      </c>
      <c r="N118" s="11" t="inlineStr">
        <is>
          <t>No</t>
        </is>
      </c>
      <c r="O118" s="11" t="inlineStr"/>
    </row>
    <row r="119">
      <c r="A119" s="11" t="inlineStr">
        <is>
          <t>Module</t>
        </is>
      </c>
      <c r="B119" s="11" t="inlineStr">
        <is>
          <t>05-03</t>
        </is>
      </c>
      <c r="C119" s="11" t="inlineStr">
        <is>
          <t>05-Multi-Agent</t>
        </is>
      </c>
      <c r="D119" s="11" t="n">
        <v>2</v>
      </c>
      <c r="E119" s="11" t="inlineStr">
        <is>
          <t>CrewAI Docs</t>
        </is>
      </c>
      <c r="F119" s="12" t="inlineStr">
        <is>
          <t>https://docs.crewai.com/</t>
        </is>
      </c>
      <c r="G119" s="12">
        <f>IF(F119="","",HYPERLINK(F119,"Open link"))</f>
        <v/>
      </c>
      <c r="H119" s="12">
        <f>IF(M119="","",IF(Config!$B$6="GitHub",HYPERLINK(Config!$B$5&amp;M119,"Open parent doc"),HYPERLINK("file://"&amp;Config!$B$4&amp;M119,"Open parent doc")))</f>
        <v/>
      </c>
      <c r="I119" s="11" t="inlineStr">
        <is>
          <t>Intro–Intermediate</t>
        </is>
      </c>
      <c r="J119" s="11" t="inlineStr">
        <is>
          <t>45 min</t>
        </is>
      </c>
      <c r="K119" s="11" t="inlineStr">
        <is>
          <t>Crews, flows, enterprise</t>
        </is>
      </c>
      <c r="L119" s="11" t="inlineStr">
        <is>
          <t>Agents; tasks; processes</t>
        </is>
      </c>
      <c r="M119" s="11" t="inlineStr">
        <is>
          <t>Modules/05-Multi-Agent/05-03-Frameworks-CrewAI-AutoGen-LangGraph.md</t>
        </is>
      </c>
      <c r="N119" s="11" t="inlineStr">
        <is>
          <t>No</t>
        </is>
      </c>
      <c r="O119" s="11" t="inlineStr"/>
    </row>
    <row r="120">
      <c r="A120" s="11" t="inlineStr">
        <is>
          <t>Module</t>
        </is>
      </c>
      <c r="B120" s="11" t="inlineStr">
        <is>
          <t>05-03</t>
        </is>
      </c>
      <c r="C120" s="11" t="inlineStr">
        <is>
          <t>05-Multi-Agent</t>
        </is>
      </c>
      <c r="D120" s="11" t="n">
        <v>3</v>
      </c>
      <c r="E120" s="11" t="inlineStr">
        <is>
          <t>AutoGen Stable Docs</t>
        </is>
      </c>
      <c r="F120" s="12" t="inlineStr">
        <is>
          <t>https://microsoft.github.io/autogen/stable//index.html</t>
        </is>
      </c>
      <c r="G120" s="12">
        <f>IF(F120="","",HYPERLINK(F120,"Open link"))</f>
        <v/>
      </c>
      <c r="H120" s="12">
        <f>IF(M120="","",IF(Config!$B$6="GitHub",HYPERLINK(Config!$B$5&amp;M120,"Open parent doc"),HYPERLINK("file://"&amp;Config!$B$4&amp;M120,"Open parent doc")))</f>
        <v/>
      </c>
      <c r="I120" s="11" t="inlineStr">
        <is>
          <t>Intermediate</t>
        </is>
      </c>
      <c r="J120" s="11" t="inlineStr">
        <is>
          <t>45 min</t>
        </is>
      </c>
      <c r="K120" s="11" t="inlineStr">
        <is>
          <t>AgentChat vs Core</t>
        </is>
      </c>
      <c r="L120" s="11" t="inlineStr">
        <is>
          <t>Extensions; MCP</t>
        </is>
      </c>
      <c r="M120" s="11" t="inlineStr">
        <is>
          <t>Modules/05-Multi-Agent/05-03-Frameworks-CrewAI-AutoGen-LangGraph.md</t>
        </is>
      </c>
      <c r="N120" s="11" t="inlineStr">
        <is>
          <t>No</t>
        </is>
      </c>
      <c r="O120" s="11" t="inlineStr"/>
    </row>
    <row r="121">
      <c r="A121" s="11" t="inlineStr">
        <is>
          <t>Module</t>
        </is>
      </c>
      <c r="B121" s="11" t="inlineStr">
        <is>
          <t>05-03</t>
        </is>
      </c>
      <c r="C121" s="11" t="inlineStr">
        <is>
          <t>05-Multi-Agent</t>
        </is>
      </c>
      <c r="D121" s="11" t="n">
        <v>4</v>
      </c>
      <c r="E121" s="11" t="inlineStr">
        <is>
          <t>MetaGPT Paper</t>
        </is>
      </c>
      <c r="F121" s="12" t="inlineStr">
        <is>
          <t>https://arxiv.org/abs/2308.08155</t>
        </is>
      </c>
      <c r="G121" s="12">
        <f>IF(F121="","",HYPERLINK(F121,"Open link"))</f>
        <v/>
      </c>
      <c r="H121" s="12">
        <f>IF(M121="","",IF(Config!$B$6="GitHub",HYPERLINK(Config!$B$5&amp;M121,"Open parent doc"),HYPERLINK("file://"&amp;Config!$B$4&amp;M121,"Open parent doc")))</f>
        <v/>
      </c>
      <c r="I121" s="11" t="inlineStr">
        <is>
          <t>Advanced</t>
        </is>
      </c>
      <c r="J121" s="11" t="inlineStr">
        <is>
          <t>45 min</t>
        </is>
      </c>
      <c r="K121" s="11" t="inlineStr">
        <is>
          <t>Role-based multi-agent research</t>
        </is>
      </c>
      <c r="L121" s="11" t="inlineStr">
        <is>
          <t>Methodology</t>
        </is>
      </c>
      <c r="M121" s="11" t="inlineStr">
        <is>
          <t>Modules/05-Multi-Agent/05-03-Frameworks-CrewAI-AutoGen-LangGraph.md</t>
        </is>
      </c>
      <c r="N121" s="11" t="inlineStr">
        <is>
          <t>No</t>
        </is>
      </c>
      <c r="O121" s="11" t="inlineStr"/>
    </row>
    <row r="122">
      <c r="A122" s="11" t="inlineStr">
        <is>
          <t>Module</t>
        </is>
      </c>
      <c r="B122" s="11" t="inlineStr">
        <is>
          <t>06-01</t>
        </is>
      </c>
      <c r="C122" s="11" t="inlineStr">
        <is>
          <t>06-Conversational-Multimodal</t>
        </is>
      </c>
      <c r="D122" s="11" t="n">
        <v>1</v>
      </c>
      <c r="E122" s="11" t="inlineStr">
        <is>
          <t>OpenAI Speech-to-Text</t>
        </is>
      </c>
      <c r="F122" s="12" t="inlineStr">
        <is>
          <t>https://platform.openai.com/docs/guides/speech-to-text</t>
        </is>
      </c>
      <c r="G122" s="12">
        <f>IF(F122="","",HYPERLINK(F122,"Open link"))</f>
        <v/>
      </c>
      <c r="H122" s="12">
        <f>IF(M122="","",IF(Config!$B$6="GitHub",HYPERLINK(Config!$B$5&amp;M122,"Open parent doc"),HYPERLINK("file://"&amp;Config!$B$4&amp;M122,"Open parent doc")))</f>
        <v/>
      </c>
      <c r="I122" s="11" t="inlineStr">
        <is>
          <t>Intro</t>
        </is>
      </c>
      <c r="J122" s="11" t="inlineStr">
        <is>
          <t>25 min</t>
        </is>
      </c>
      <c r="K122" s="11" t="inlineStr">
        <is>
          <t>Whisper API production options</t>
        </is>
      </c>
      <c r="L122" s="11" t="inlineStr">
        <is>
          <t>Supported formats; streaming</t>
        </is>
      </c>
      <c r="M122" s="11" t="inlineStr">
        <is>
          <t>Modules/06-Conversational-Multimodal/06-01-Voice-ASR-TTS-Pipelines.md</t>
        </is>
      </c>
      <c r="N122" s="11" t="inlineStr">
        <is>
          <t>No</t>
        </is>
      </c>
      <c r="O122" s="11" t="inlineStr"/>
    </row>
    <row r="123">
      <c r="A123" s="11" t="inlineStr">
        <is>
          <t>Module</t>
        </is>
      </c>
      <c r="B123" s="11" t="inlineStr">
        <is>
          <t>06-01</t>
        </is>
      </c>
      <c r="C123" s="11" t="inlineStr">
        <is>
          <t>06-Conversational-Multimodal</t>
        </is>
      </c>
      <c r="D123" s="11" t="n">
        <v>2</v>
      </c>
      <c r="E123" s="11" t="inlineStr">
        <is>
          <t>OpenAI Text-to-Speech</t>
        </is>
      </c>
      <c r="F123" s="12" t="inlineStr">
        <is>
          <t>https://platform.openai.com/docs/guides/text-to-speech</t>
        </is>
      </c>
      <c r="G123" s="12">
        <f>IF(F123="","",HYPERLINK(F123,"Open link"))</f>
        <v/>
      </c>
      <c r="H123" s="12">
        <f>IF(M123="","",IF(Config!$B$6="GitHub",HYPERLINK(Config!$B$5&amp;M123,"Open parent doc"),HYPERLINK("file://"&amp;Config!$B$4&amp;M123,"Open parent doc")))</f>
        <v/>
      </c>
      <c r="I123" s="11" t="inlineStr">
        <is>
          <t>Intro</t>
        </is>
      </c>
      <c r="J123" s="11" t="inlineStr">
        <is>
          <t>20 min</t>
        </is>
      </c>
      <c r="K123" s="11" t="inlineStr">
        <is>
          <t>Neural TTS integration</t>
        </is>
      </c>
      <c r="L123" s="11" t="inlineStr">
        <is>
          <t>Voices; streaming</t>
        </is>
      </c>
      <c r="M123" s="11" t="inlineStr">
        <is>
          <t>Modules/06-Conversational-Multimodal/06-01-Voice-ASR-TTS-Pipelines.md</t>
        </is>
      </c>
      <c r="N123" s="11" t="inlineStr">
        <is>
          <t>No</t>
        </is>
      </c>
      <c r="O123" s="11" t="inlineStr"/>
    </row>
    <row r="124">
      <c r="A124" s="11" t="inlineStr">
        <is>
          <t>Module</t>
        </is>
      </c>
      <c r="B124" s="11" t="inlineStr">
        <is>
          <t>06-01</t>
        </is>
      </c>
      <c r="C124" s="11" t="inlineStr">
        <is>
          <t>06-Conversational-Multimodal</t>
        </is>
      </c>
      <c r="D124" s="11" t="n">
        <v>3</v>
      </c>
      <c r="E124" s="11" t="inlineStr">
        <is>
          <t>OpenAI Realtime API</t>
        </is>
      </c>
      <c r="F124" s="12" t="inlineStr">
        <is>
          <t>https://platform.openai.com/docs/guides/realtime</t>
        </is>
      </c>
      <c r="G124" s="12">
        <f>IF(F124="","",HYPERLINK(F124,"Open link"))</f>
        <v/>
      </c>
      <c r="H124" s="12">
        <f>IF(M124="","",IF(Config!$B$6="GitHub",HYPERLINK(Config!$B$5&amp;M124,"Open parent doc"),HYPERLINK("file://"&amp;Config!$B$4&amp;M124,"Open parent doc")))</f>
        <v/>
      </c>
      <c r="I124" s="11" t="inlineStr">
        <is>
          <t>Intermediate</t>
        </is>
      </c>
      <c r="J124" s="11" t="inlineStr">
        <is>
          <t>45 min</t>
        </is>
      </c>
      <c r="K124" s="11" t="inlineStr">
        <is>
          <t>Native S2S path</t>
        </is>
      </c>
      <c r="L124" s="11" t="inlineStr">
        <is>
          <t>Session lifecycle; VAD</t>
        </is>
      </c>
      <c r="M124" s="11" t="inlineStr">
        <is>
          <t>Modules/06-Conversational-Multimodal/06-01-Voice-ASR-TTS-Pipelines.md</t>
        </is>
      </c>
      <c r="N124" s="11" t="inlineStr">
        <is>
          <t>No</t>
        </is>
      </c>
      <c r="O124" s="11" t="inlineStr"/>
    </row>
    <row r="125">
      <c r="A125" s="11" t="inlineStr">
        <is>
          <t>Module</t>
        </is>
      </c>
      <c r="B125" s="11" t="inlineStr">
        <is>
          <t>06-01</t>
        </is>
      </c>
      <c r="C125" s="11" t="inlineStr">
        <is>
          <t>06-Conversational-Multimodal</t>
        </is>
      </c>
      <c r="D125" s="11" t="n">
        <v>4</v>
      </c>
      <c r="E125" s="11" t="inlineStr">
        <is>
          <t>Faster-Whisper</t>
        </is>
      </c>
      <c r="F125" s="12" t="inlineStr">
        <is>
          <t>https://github.com/SYSTRAN/faster-whisper</t>
        </is>
      </c>
      <c r="G125" s="12">
        <f>IF(F125="","",HYPERLINK(F125,"Open link"))</f>
        <v/>
      </c>
      <c r="H125" s="12">
        <f>IF(M125="","",IF(Config!$B$6="GitHub",HYPERLINK(Config!$B$5&amp;M125,"Open parent doc"),HYPERLINK("file://"&amp;Config!$B$4&amp;M125,"Open parent doc")))</f>
        <v/>
      </c>
      <c r="I125" s="11" t="inlineStr">
        <is>
          <t>Intermediate</t>
        </is>
      </c>
      <c r="J125" s="11" t="inlineStr">
        <is>
          <t>30 min</t>
        </is>
      </c>
      <c r="K125" s="11" t="inlineStr">
        <is>
          <t>Self-host ASR economics</t>
        </is>
      </c>
      <c r="L125" s="11" t="inlineStr">
        <is>
          <t>GPU/CPU benchmarks</t>
        </is>
      </c>
      <c r="M125" s="11" t="inlineStr">
        <is>
          <t>Modules/06-Conversational-Multimodal/06-01-Voice-ASR-TTS-Pipelines.md</t>
        </is>
      </c>
      <c r="N125" s="11" t="inlineStr">
        <is>
          <t>No</t>
        </is>
      </c>
      <c r="O125" s="11" t="inlineStr"/>
    </row>
    <row r="126">
      <c r="A126" s="11" t="inlineStr">
        <is>
          <t>Module</t>
        </is>
      </c>
      <c r="B126" s="11" t="inlineStr">
        <is>
          <t>06-01</t>
        </is>
      </c>
      <c r="C126" s="11" t="inlineStr">
        <is>
          <t>06-Conversational-Multimodal</t>
        </is>
      </c>
      <c r="D126" s="11" t="n">
        <v>5</v>
      </c>
      <c r="E126" s="11" t="inlineStr">
        <is>
          <t>WebRTC VAD</t>
        </is>
      </c>
      <c r="F126" s="12" t="inlineStr">
        <is>
          <t>https://github.com/wiseman/py-webrtcvad</t>
        </is>
      </c>
      <c r="G126" s="12">
        <f>IF(F126="","",HYPERLINK(F126,"Open link"))</f>
        <v/>
      </c>
      <c r="H126" s="12">
        <f>IF(M126="","",IF(Config!$B$6="GitHub",HYPERLINK(Config!$B$5&amp;M126,"Open parent doc"),HYPERLINK("file://"&amp;Config!$B$4&amp;M126,"Open parent doc")))</f>
        <v/>
      </c>
      <c r="I126" s="11" t="inlineStr">
        <is>
          <t>Intro</t>
        </is>
      </c>
      <c r="J126" s="11" t="inlineStr">
        <is>
          <t>15 min</t>
        </is>
      </c>
      <c r="K126" s="11" t="inlineStr">
        <is>
          <t>Lightweight endpointing</t>
        </is>
      </c>
      <c r="L126" s="11" t="inlineStr">
        <is>
          <t>Aggressiveness modes</t>
        </is>
      </c>
      <c r="M126" s="11" t="inlineStr">
        <is>
          <t>Modules/06-Conversational-Multimodal/06-01-Voice-ASR-TTS-Pipelines.md</t>
        </is>
      </c>
      <c r="N126" s="11" t="inlineStr">
        <is>
          <t>No</t>
        </is>
      </c>
      <c r="O126" s="11" t="inlineStr"/>
    </row>
    <row r="127">
      <c r="A127" s="11" t="inlineStr">
        <is>
          <t>Module</t>
        </is>
      </c>
      <c r="B127" s="11" t="inlineStr">
        <is>
          <t>06-01</t>
        </is>
      </c>
      <c r="C127" s="11" t="inlineStr">
        <is>
          <t>06-Conversational-Multimodal</t>
        </is>
      </c>
      <c r="D127" s="11" t="n">
        <v>6</v>
      </c>
      <c r="E127" s="11" t="inlineStr">
        <is>
          <t>Deepgram Streaming</t>
        </is>
      </c>
      <c r="F127" s="12" t="inlineStr">
        <is>
          <t>https://developers.deepgram.com/docs/streaming</t>
        </is>
      </c>
      <c r="G127" s="12">
        <f>IF(F127="","",HYPERLINK(F127,"Open link"))</f>
        <v/>
      </c>
      <c r="H127" s="12">
        <f>IF(M127="","",IF(Config!$B$6="GitHub",HYPERLINK(Config!$B$5&amp;M127,"Open parent doc"),HYPERLINK("file://"&amp;Config!$B$4&amp;M127,"Open parent doc")))</f>
        <v/>
      </c>
      <c r="I127" s="11" t="inlineStr">
        <is>
          <t>Intermediate</t>
        </is>
      </c>
      <c r="J127" s="11" t="inlineStr">
        <is>
          <t>30 min</t>
        </is>
      </c>
      <c r="K127" s="11" t="inlineStr">
        <is>
          <t>Cloud streaming STT pattern</t>
        </is>
      </c>
      <c r="L127" s="11" t="inlineStr">
        <is>
          <t>Interim results</t>
        </is>
      </c>
      <c r="M127" s="11" t="inlineStr">
        <is>
          <t>Modules/06-Conversational-Multimodal/06-01-Voice-ASR-TTS-Pipelines.md</t>
        </is>
      </c>
      <c r="N127" s="11" t="inlineStr">
        <is>
          <t>No</t>
        </is>
      </c>
      <c r="O127" s="11" t="inlineStr"/>
    </row>
    <row r="128">
      <c r="A128" s="11" t="inlineStr">
        <is>
          <t>Module</t>
        </is>
      </c>
      <c r="B128" s="11" t="inlineStr">
        <is>
          <t>06-01</t>
        </is>
      </c>
      <c r="C128" s="11" t="inlineStr">
        <is>
          <t>06-Conversational-Multimodal</t>
        </is>
      </c>
      <c r="D128" s="11" t="n">
        <v>7</v>
      </c>
      <c r="E128" s="11" t="inlineStr">
        <is>
          <t>ElevenLabs API</t>
        </is>
      </c>
      <c r="F128" s="12" t="inlineStr">
        <is>
          <t>https://elevenlabs.io/docs/api-reference/text-to-speech</t>
        </is>
      </c>
      <c r="G128" s="12">
        <f>IF(F128="","",HYPERLINK(F128,"Open link"))</f>
        <v/>
      </c>
      <c r="H128" s="12">
        <f>IF(M128="","",IF(Config!$B$6="GitHub",HYPERLINK(Config!$B$5&amp;M128,"Open parent doc"),HYPERLINK("file://"&amp;Config!$B$4&amp;M128,"Open parent doc")))</f>
        <v/>
      </c>
      <c r="I128" s="11" t="inlineStr">
        <is>
          <t>Intro</t>
        </is>
      </c>
      <c r="J128" s="11" t="inlineStr">
        <is>
          <t>25 min</t>
        </is>
      </c>
      <c r="K128" s="11" t="inlineStr">
        <is>
          <t>Premium TTS</t>
        </is>
      </c>
      <c r="L128" s="11" t="inlineStr">
        <is>
          <t>Streaming; voice settings</t>
        </is>
      </c>
      <c r="M128" s="11" t="inlineStr">
        <is>
          <t>Modules/06-Conversational-Multimodal/06-01-Voice-ASR-TTS-Pipelines.md</t>
        </is>
      </c>
      <c r="N128" s="11" t="inlineStr">
        <is>
          <t>No</t>
        </is>
      </c>
      <c r="O128" s="11" t="inlineStr"/>
    </row>
    <row r="129">
      <c r="A129" s="11" t="inlineStr">
        <is>
          <t>Module</t>
        </is>
      </c>
      <c r="B129" s="11" t="inlineStr">
        <is>
          <t>06-02</t>
        </is>
      </c>
      <c r="C129" s="11" t="inlineStr">
        <is>
          <t>06-Conversational-Multimodal</t>
        </is>
      </c>
      <c r="D129" s="11" t="n">
        <v>1</v>
      </c>
      <c r="E129" s="11" t="inlineStr">
        <is>
          <t>OpenAI Vision Guide</t>
        </is>
      </c>
      <c r="F129" s="12" t="inlineStr">
        <is>
          <t>https://platform.openai.com/docs/guides/images-vision</t>
        </is>
      </c>
      <c r="G129" s="12">
        <f>IF(F129="","",HYPERLINK(F129,"Open link"))</f>
        <v/>
      </c>
      <c r="H129" s="12">
        <f>IF(M129="","",IF(Config!$B$6="GitHub",HYPERLINK(Config!$B$5&amp;M129,"Open parent doc"),HYPERLINK("file://"&amp;Config!$B$4&amp;M129,"Open parent doc")))</f>
        <v/>
      </c>
      <c r="I129" s="11" t="inlineStr">
        <is>
          <t>Intro</t>
        </is>
      </c>
      <c r="J129" s="11" t="inlineStr">
        <is>
          <t>30 min</t>
        </is>
      </c>
      <c r="K129" s="11" t="inlineStr">
        <is>
          <t>Image input API</t>
        </is>
      </c>
      <c r="L129" s="11" t="inlineStr">
        <is>
          <t>Detail vs low-res</t>
        </is>
      </c>
      <c r="M129" s="11" t="inlineStr">
        <is>
          <t>Modules/06-Conversational-Multimodal/06-02-Multimodal-Agents.md</t>
        </is>
      </c>
      <c r="N129" s="11" t="inlineStr">
        <is>
          <t>No</t>
        </is>
      </c>
      <c r="O129" s="11" t="inlineStr"/>
    </row>
    <row r="130">
      <c r="A130" s="11" t="inlineStr">
        <is>
          <t>Module</t>
        </is>
      </c>
      <c r="B130" s="11" t="inlineStr">
        <is>
          <t>06-02</t>
        </is>
      </c>
      <c r="C130" s="11" t="inlineStr">
        <is>
          <t>06-Conversational-Multimodal</t>
        </is>
      </c>
      <c r="D130" s="11" t="n">
        <v>2</v>
      </c>
      <c r="E130" s="11" t="inlineStr">
        <is>
          <t>Claude Vision</t>
        </is>
      </c>
      <c r="F130" s="12" t="inlineStr">
        <is>
          <t>https://platform.claude.com/docs/en/build-with-claude/vision</t>
        </is>
      </c>
      <c r="G130" s="12">
        <f>IF(F130="","",HYPERLINK(F130,"Open link"))</f>
        <v/>
      </c>
      <c r="H130" s="12">
        <f>IF(M130="","",IF(Config!$B$6="GitHub",HYPERLINK(Config!$B$5&amp;M130,"Open parent doc"),HYPERLINK("file://"&amp;Config!$B$4&amp;M130,"Open parent doc")))</f>
        <v/>
      </c>
      <c r="I130" s="11" t="inlineStr">
        <is>
          <t>Intro</t>
        </is>
      </c>
      <c r="J130" s="11" t="inlineStr">
        <is>
          <t>25 min</t>
        </is>
      </c>
      <c r="K130" s="11" t="inlineStr">
        <is>
          <t>PDF/image patterns</t>
        </is>
      </c>
      <c r="L130" s="11" t="inlineStr">
        <is>
          <t>Best practices</t>
        </is>
      </c>
      <c r="M130" s="11" t="inlineStr">
        <is>
          <t>Modules/06-Conversational-Multimodal/06-02-Multimodal-Agents.md</t>
        </is>
      </c>
      <c r="N130" s="11" t="inlineStr">
        <is>
          <t>No</t>
        </is>
      </c>
      <c r="O130" s="11" t="inlineStr"/>
    </row>
    <row r="131">
      <c r="A131" s="11" t="inlineStr">
        <is>
          <t>Module</t>
        </is>
      </c>
      <c r="B131" s="11" t="inlineStr">
        <is>
          <t>06-02</t>
        </is>
      </c>
      <c r="C131" s="11" t="inlineStr">
        <is>
          <t>06-Conversational-Multimodal</t>
        </is>
      </c>
      <c r="D131" s="11" t="n">
        <v>3</v>
      </c>
      <c r="E131" s="11" t="inlineStr">
        <is>
          <t>Gemini Multimodal</t>
        </is>
      </c>
      <c r="F131" s="12" t="inlineStr">
        <is>
          <t>https://ai.google.dev/gemini-api/docs/vision</t>
        </is>
      </c>
      <c r="G131" s="12">
        <f>IF(F131="","",HYPERLINK(F131,"Open link"))</f>
        <v/>
      </c>
      <c r="H131" s="12">
        <f>IF(M131="","",IF(Config!$B$6="GitHub",HYPERLINK(Config!$B$5&amp;M131,"Open parent doc"),HYPERLINK("file://"&amp;Config!$B$4&amp;M131,"Open parent doc")))</f>
        <v/>
      </c>
      <c r="I131" s="11" t="inlineStr">
        <is>
          <t>Intro</t>
        </is>
      </c>
      <c r="J131" s="11" t="inlineStr">
        <is>
          <t>25 min</t>
        </is>
      </c>
      <c r="K131" s="11" t="inlineStr">
        <is>
          <t>Google stack</t>
        </is>
      </c>
      <c r="L131" s="11" t="inlineStr">
        <is>
          <t>Image understanding</t>
        </is>
      </c>
      <c r="M131" s="11" t="inlineStr">
        <is>
          <t>Modules/06-Conversational-Multimodal/06-02-Multimodal-Agents.md</t>
        </is>
      </c>
      <c r="N131" s="11" t="inlineStr">
        <is>
          <t>No</t>
        </is>
      </c>
      <c r="O131" s="11" t="inlineStr"/>
    </row>
    <row r="132">
      <c r="A132" s="11" t="inlineStr">
        <is>
          <t>Module</t>
        </is>
      </c>
      <c r="B132" s="11" t="inlineStr">
        <is>
          <t>06-02</t>
        </is>
      </c>
      <c r="C132" s="11" t="inlineStr">
        <is>
          <t>06-Conversational-Multimodal</t>
        </is>
      </c>
      <c r="D132" s="11" t="n">
        <v>4</v>
      </c>
      <c r="E132" s="11" t="inlineStr">
        <is>
          <t>PyMuPDF</t>
        </is>
      </c>
      <c r="F132" s="12" t="inlineStr">
        <is>
          <t>https://pymupdf.readthedocs.io/</t>
        </is>
      </c>
      <c r="G132" s="12">
        <f>IF(F132="","",HYPERLINK(F132,"Open link"))</f>
        <v/>
      </c>
      <c r="H132" s="12">
        <f>IF(M132="","",IF(Config!$B$6="GitHub",HYPERLINK(Config!$B$5&amp;M132,"Open parent doc"),HYPERLINK("file://"&amp;Config!$B$4&amp;M132,"Open parent doc")))</f>
        <v/>
      </c>
      <c r="I132" s="11" t="inlineStr">
        <is>
          <t>Intro</t>
        </is>
      </c>
      <c r="J132" s="11" t="inlineStr">
        <is>
          <t>20 min</t>
        </is>
      </c>
      <c r="K132" s="11" t="inlineStr">
        <is>
          <t>PDF text extraction</t>
        </is>
      </c>
      <c r="L132" s="11" t="inlineStr">
        <is>
          <t>Text extraction</t>
        </is>
      </c>
      <c r="M132" s="11" t="inlineStr">
        <is>
          <t>Modules/06-Conversational-Multimodal/06-02-Multimodal-Agents.md</t>
        </is>
      </c>
      <c r="N132" s="11" t="inlineStr">
        <is>
          <t>No</t>
        </is>
      </c>
      <c r="O132" s="11" t="inlineStr"/>
    </row>
    <row r="133">
      <c r="A133" s="11" t="inlineStr">
        <is>
          <t>Module</t>
        </is>
      </c>
      <c r="B133" s="11" t="inlineStr">
        <is>
          <t>06-02</t>
        </is>
      </c>
      <c r="C133" s="11" t="inlineStr">
        <is>
          <t>06-Conversational-Multimodal</t>
        </is>
      </c>
      <c r="D133" s="11" t="n">
        <v>5</v>
      </c>
      <c r="E133" s="11" t="inlineStr">
        <is>
          <t>LayoutParser</t>
        </is>
      </c>
      <c r="F133" s="12" t="inlineStr">
        <is>
          <t>https://layout-parser.github.io/</t>
        </is>
      </c>
      <c r="G133" s="12">
        <f>IF(F133="","",HYPERLINK(F133,"Open link"))</f>
        <v/>
      </c>
      <c r="H133" s="12">
        <f>IF(M133="","",IF(Config!$B$6="GitHub",HYPERLINK(Config!$B$5&amp;M133,"Open parent doc"),HYPERLINK("file://"&amp;Config!$B$4&amp;M133,"Open parent doc")))</f>
        <v/>
      </c>
      <c r="I133" s="11" t="inlineStr">
        <is>
          <t>Intermediate</t>
        </is>
      </c>
      <c r="J133" s="11" t="inlineStr">
        <is>
          <t>40 min</t>
        </is>
      </c>
      <c r="K133" s="11" t="inlineStr">
        <is>
          <t>Document layout</t>
        </is>
      </c>
      <c r="L133" s="11" t="inlineStr">
        <is>
          <t>Detection models</t>
        </is>
      </c>
      <c r="M133" s="11" t="inlineStr">
        <is>
          <t>Modules/06-Conversational-Multimodal/06-02-Multimodal-Agents.md</t>
        </is>
      </c>
      <c r="N133" s="11" t="inlineStr">
        <is>
          <t>No</t>
        </is>
      </c>
      <c r="O133" s="11" t="inlineStr"/>
    </row>
    <row r="134">
      <c r="A134" s="11" t="inlineStr">
        <is>
          <t>Module</t>
        </is>
      </c>
      <c r="B134" s="11" t="inlineStr">
        <is>
          <t>06-02</t>
        </is>
      </c>
      <c r="C134" s="11" t="inlineStr">
        <is>
          <t>06-Conversational-Multimodal</t>
        </is>
      </c>
      <c r="D134" s="11" t="n">
        <v>6</v>
      </c>
      <c r="E134" s="11" t="inlineStr">
        <is>
          <t>DeepEval Multimodal</t>
        </is>
      </c>
      <c r="F134" s="12" t="inlineStr">
        <is>
          <t>https://deepeval.com/docs/multimodal-metrics</t>
        </is>
      </c>
      <c r="G134" s="12">
        <f>IF(F134="","",HYPERLINK(F134,"Open link"))</f>
        <v/>
      </c>
      <c r="H134" s="12">
        <f>IF(M134="","",IF(Config!$B$6="GitHub",HYPERLINK(Config!$B$5&amp;M134,"Open parent doc"),HYPERLINK("file://"&amp;Config!$B$4&amp;M134,"Open parent doc")))</f>
        <v/>
      </c>
      <c r="I134" s="11" t="inlineStr">
        <is>
          <t>Intermediate</t>
        </is>
      </c>
      <c r="J134" s="11" t="inlineStr">
        <is>
          <t>30 min</t>
        </is>
      </c>
      <c r="K134" s="11" t="inlineStr">
        <is>
          <t>Eval patterns</t>
        </is>
      </c>
      <c r="L134" s="11" t="inlineStr">
        <is>
          <t>Image QA metrics</t>
        </is>
      </c>
      <c r="M134" s="11" t="inlineStr">
        <is>
          <t>Modules/06-Conversational-Multimodal/06-02-Multimodal-Agents.md</t>
        </is>
      </c>
      <c r="N134" s="11" t="inlineStr">
        <is>
          <t>No</t>
        </is>
      </c>
      <c r="O134" s="11" t="inlineStr"/>
    </row>
    <row r="135">
      <c r="A135" s="11" t="inlineStr">
        <is>
          <t>Module</t>
        </is>
      </c>
      <c r="B135" s="11" t="inlineStr">
        <is>
          <t>07-01</t>
        </is>
      </c>
      <c r="C135" s="11" t="inlineStr">
        <is>
          <t>07-Protocols-MCP-A2A</t>
        </is>
      </c>
      <c r="D135" s="11" t="n">
        <v>1</v>
      </c>
      <c r="E135" s="11" t="inlineStr">
        <is>
          <t>MCP Introduction</t>
        </is>
      </c>
      <c r="F135" s="12" t="inlineStr">
        <is>
          <t>https://modelcontextprotocol.io/docs/getting-started/intro</t>
        </is>
      </c>
      <c r="G135" s="12">
        <f>IF(F135="","",HYPERLINK(F135,"Open link"))</f>
        <v/>
      </c>
      <c r="H135" s="12">
        <f>IF(M135="","",IF(Config!$B$6="GitHub",HYPERLINK(Config!$B$5&amp;M135,"Open parent doc"),HYPERLINK("file://"&amp;Config!$B$4&amp;M135,"Open parent doc")))</f>
        <v/>
      </c>
      <c r="I135" s="11" t="inlineStr">
        <is>
          <t>Intro</t>
        </is>
      </c>
      <c r="J135" s="11" t="inlineStr">
        <is>
          <t>20 min</t>
        </is>
      </c>
      <c r="K135" s="11" t="inlineStr">
        <is>
          <t>Canonical spec mindset</t>
        </is>
      </c>
      <c r="L135" s="11" t="inlineStr">
        <is>
          <t>Concepts; architecture</t>
        </is>
      </c>
      <c r="M135" s="11" t="inlineStr">
        <is>
          <t>Modules/07-Protocols-MCP-A2A/07-01-MCP-Model-Context-Protocol.md</t>
        </is>
      </c>
      <c r="N135" s="11" t="inlineStr">
        <is>
          <t>No</t>
        </is>
      </c>
      <c r="O135" s="11" t="inlineStr"/>
    </row>
    <row r="136">
      <c r="A136" s="11" t="inlineStr">
        <is>
          <t>Module</t>
        </is>
      </c>
      <c r="B136" s="11" t="inlineStr">
        <is>
          <t>07-01</t>
        </is>
      </c>
      <c r="C136" s="11" t="inlineStr">
        <is>
          <t>07-Protocols-MCP-A2A</t>
        </is>
      </c>
      <c r="D136" s="11" t="n">
        <v>2</v>
      </c>
      <c r="E136" s="11" t="inlineStr">
        <is>
          <t>MCP Python SDK</t>
        </is>
      </c>
      <c r="F136" s="12" t="inlineStr">
        <is>
          <t>https://github.com/modelcontextprotocol/python-sdk</t>
        </is>
      </c>
      <c r="G136" s="12">
        <f>IF(F136="","",HYPERLINK(F136,"Open link"))</f>
        <v/>
      </c>
      <c r="H136" s="12">
        <f>IF(M136="","",IF(Config!$B$6="GitHub",HYPERLINK(Config!$B$5&amp;M136,"Open parent doc"),HYPERLINK("file://"&amp;Config!$B$4&amp;M136,"Open parent doc")))</f>
        <v/>
      </c>
      <c r="I136" s="11" t="inlineStr">
        <is>
          <t>Intermediate</t>
        </is>
      </c>
      <c r="J136" s="11" t="inlineStr">
        <is>
          <t>45 min</t>
        </is>
      </c>
      <c r="K136" s="11" t="inlineStr">
        <is>
          <t>FastMCP implementation</t>
        </is>
      </c>
      <c r="L136" s="11" t="inlineStr">
        <is>
          <t>Server examples</t>
        </is>
      </c>
      <c r="M136" s="11" t="inlineStr">
        <is>
          <t>Modules/07-Protocols-MCP-A2A/07-01-MCP-Model-Context-Protocol.md</t>
        </is>
      </c>
      <c r="N136" s="11" t="inlineStr">
        <is>
          <t>No</t>
        </is>
      </c>
      <c r="O136" s="11" t="inlineStr"/>
    </row>
    <row r="137">
      <c r="A137" s="11" t="inlineStr">
        <is>
          <t>Module</t>
        </is>
      </c>
      <c r="B137" s="11" t="inlineStr">
        <is>
          <t>07-01</t>
        </is>
      </c>
      <c r="C137" s="11" t="inlineStr">
        <is>
          <t>07-Protocols-MCP-A2A</t>
        </is>
      </c>
      <c r="D137" s="11" t="n">
        <v>3</v>
      </c>
      <c r="E137" s="11" t="inlineStr">
        <is>
          <t>MCP Specification</t>
        </is>
      </c>
      <c r="F137" s="12" t="inlineStr">
        <is>
          <t>https://modelcontextprotocol.io/specification</t>
        </is>
      </c>
      <c r="G137" s="12">
        <f>IF(F137="","",HYPERLINK(F137,"Open link"))</f>
        <v/>
      </c>
      <c r="H137" s="12">
        <f>IF(M137="","",IF(Config!$B$6="GitHub",HYPERLINK(Config!$B$5&amp;M137,"Open parent doc"),HYPERLINK("file://"&amp;Config!$B$4&amp;M137,"Open parent doc")))</f>
        <v/>
      </c>
      <c r="I137" s="11" t="inlineStr">
        <is>
          <t>Advanced</t>
        </is>
      </c>
      <c r="J137" s="11" t="inlineStr">
        <is>
          <t>90 min</t>
        </is>
      </c>
      <c r="K137" s="11" t="inlineStr">
        <is>
          <t>Wire protocol details</t>
        </is>
      </c>
      <c r="L137" s="11" t="inlineStr">
        <is>
          <t>Tools; resources; prompts</t>
        </is>
      </c>
      <c r="M137" s="11" t="inlineStr">
        <is>
          <t>Modules/07-Protocols-MCP-A2A/07-01-MCP-Model-Context-Protocol.md</t>
        </is>
      </c>
      <c r="N137" s="11" t="inlineStr">
        <is>
          <t>No</t>
        </is>
      </c>
      <c r="O137" s="11" t="inlineStr"/>
    </row>
    <row r="138">
      <c r="A138" s="11" t="inlineStr">
        <is>
          <t>Module</t>
        </is>
      </c>
      <c r="B138" s="11" t="inlineStr">
        <is>
          <t>07-01</t>
        </is>
      </c>
      <c r="C138" s="11" t="inlineStr">
        <is>
          <t>07-Protocols-MCP-A2A</t>
        </is>
      </c>
      <c r="D138" s="11" t="n">
        <v>4</v>
      </c>
      <c r="E138" s="11" t="inlineStr">
        <is>
          <t>Anthropic MCP Announcement</t>
        </is>
      </c>
      <c r="F138" s="12" t="inlineStr">
        <is>
          <t>https://www.anthropic.com/news/model-context-protocol</t>
        </is>
      </c>
      <c r="G138" s="12">
        <f>IF(F138="","",HYPERLINK(F138,"Open link"))</f>
        <v/>
      </c>
      <c r="H138" s="12">
        <f>IF(M138="","",IF(Config!$B$6="GitHub",HYPERLINK(Config!$B$5&amp;M138,"Open parent doc"),HYPERLINK("file://"&amp;Config!$B$4&amp;M138,"Open parent doc")))</f>
        <v/>
      </c>
      <c r="I138" s="11" t="inlineStr">
        <is>
          <t>Intro</t>
        </is>
      </c>
      <c r="J138" s="11" t="inlineStr">
        <is>
          <t>15 min</t>
        </is>
      </c>
      <c r="K138" s="11" t="inlineStr">
        <is>
          <t>Why USB-C metaphor</t>
        </is>
      </c>
      <c r="L138" s="11" t="inlineStr">
        <is>
          <t>Problem framing</t>
        </is>
      </c>
      <c r="M138" s="11" t="inlineStr">
        <is>
          <t>Modules/07-Protocols-MCP-A2A/07-01-MCP-Model-Context-Protocol.md</t>
        </is>
      </c>
      <c r="N138" s="11" t="inlineStr">
        <is>
          <t>No</t>
        </is>
      </c>
      <c r="O138" s="11" t="inlineStr"/>
    </row>
    <row r="139">
      <c r="A139" s="11" t="inlineStr">
        <is>
          <t>Module</t>
        </is>
      </c>
      <c r="B139" s="11" t="inlineStr">
        <is>
          <t>07-01</t>
        </is>
      </c>
      <c r="C139" s="11" t="inlineStr">
        <is>
          <t>07-Protocols-MCP-A2A</t>
        </is>
      </c>
      <c r="D139" s="11" t="n">
        <v>5</v>
      </c>
      <c r="E139" s="11" t="inlineStr">
        <is>
          <t>Cursor MCP Docs</t>
        </is>
      </c>
      <c r="F139" s="12" t="inlineStr">
        <is>
          <t>https://docs.cursor.com/context/mcp</t>
        </is>
      </c>
      <c r="G139" s="12">
        <f>IF(F139="","",HYPERLINK(F139,"Open link"))</f>
        <v/>
      </c>
      <c r="H139" s="12">
        <f>IF(M139="","",IF(Config!$B$6="GitHub",HYPERLINK(Config!$B$5&amp;M139,"Open parent doc"),HYPERLINK("file://"&amp;Config!$B$4&amp;M139,"Open parent doc")))</f>
        <v/>
      </c>
      <c r="I139" s="11" t="inlineStr">
        <is>
          <t>Intro</t>
        </is>
      </c>
      <c r="J139" s="11" t="inlineStr">
        <is>
          <t>20 min</t>
        </is>
      </c>
      <c r="K139" s="11" t="inlineStr">
        <is>
          <t>IDE integration</t>
        </is>
      </c>
      <c r="L139" s="11" t="inlineStr">
        <is>
          <t>Config JSON</t>
        </is>
      </c>
      <c r="M139" s="11" t="inlineStr">
        <is>
          <t>Modules/07-Protocols-MCP-A2A/07-01-MCP-Model-Context-Protocol.md</t>
        </is>
      </c>
      <c r="N139" s="11" t="inlineStr">
        <is>
          <t>No</t>
        </is>
      </c>
      <c r="O139" s="11" t="inlineStr"/>
    </row>
    <row r="140">
      <c r="A140" s="11" t="inlineStr">
        <is>
          <t>Module</t>
        </is>
      </c>
      <c r="B140" s="11" t="inlineStr">
        <is>
          <t>07-02</t>
        </is>
      </c>
      <c r="C140" s="11" t="inlineStr">
        <is>
          <t>07-Protocols-MCP-A2A</t>
        </is>
      </c>
      <c r="D140" s="11" t="n">
        <v>1</v>
      </c>
      <c r="E140" s="11" t="inlineStr">
        <is>
          <t>A2A Protocol Docs</t>
        </is>
      </c>
      <c r="F140" s="12" t="inlineStr">
        <is>
          <t>https://a2a-protocol.org/latest/</t>
        </is>
      </c>
      <c r="G140" s="12">
        <f>IF(F140="","",HYPERLINK(F140,"Open link"))</f>
        <v/>
      </c>
      <c r="H140" s="12">
        <f>IF(M140="","",IF(Config!$B$6="GitHub",HYPERLINK(Config!$B$5&amp;M140,"Open parent doc"),HYPERLINK("file://"&amp;Config!$B$4&amp;M140,"Open parent doc")))</f>
        <v/>
      </c>
      <c r="I140" s="11" t="inlineStr">
        <is>
          <t>Intro</t>
        </is>
      </c>
      <c r="J140" s="11" t="inlineStr">
        <is>
          <t>40 min</t>
        </is>
      </c>
      <c r="K140" s="11" t="inlineStr">
        <is>
          <t>Canonical concepts</t>
        </is>
      </c>
      <c r="L140" s="11" t="inlineStr">
        <is>
          <t>Agent card; tasks</t>
        </is>
      </c>
      <c r="M140" s="11" t="inlineStr">
        <is>
          <t>Modules/07-Protocols-MCP-A2A/07-02-A2A-Agent-to-Agent.md</t>
        </is>
      </c>
      <c r="N140" s="11" t="inlineStr">
        <is>
          <t>No</t>
        </is>
      </c>
      <c r="O140" s="11" t="inlineStr"/>
    </row>
    <row r="141">
      <c r="A141" s="11" t="inlineStr">
        <is>
          <t>Module</t>
        </is>
      </c>
      <c r="B141" s="11" t="inlineStr">
        <is>
          <t>07-02</t>
        </is>
      </c>
      <c r="C141" s="11" t="inlineStr">
        <is>
          <t>07-Protocols-MCP-A2A</t>
        </is>
      </c>
      <c r="D141" s="11" t="n">
        <v>2</v>
      </c>
      <c r="E141" s="11" t="inlineStr">
        <is>
          <t>A2A GitHub</t>
        </is>
      </c>
      <c r="F141" s="12" t="inlineStr">
        <is>
          <t>https://github.com/a2aproject/A2A</t>
        </is>
      </c>
      <c r="G141" s="12">
        <f>IF(F141="","",HYPERLINK(F141,"Open link"))</f>
        <v/>
      </c>
      <c r="H141" s="12">
        <f>IF(M141="","",IF(Config!$B$6="GitHub",HYPERLINK(Config!$B$5&amp;M141,"Open parent doc"),HYPERLINK("file://"&amp;Config!$B$4&amp;M141,"Open parent doc")))</f>
        <v/>
      </c>
      <c r="I141" s="11" t="inlineStr">
        <is>
          <t>Intermediate</t>
        </is>
      </c>
      <c r="J141" s="11" t="inlineStr">
        <is>
          <t>45 min</t>
        </is>
      </c>
      <c r="K141" s="11" t="inlineStr">
        <is>
          <t>Reference samples</t>
        </is>
      </c>
      <c r="L141" s="11" t="inlineStr">
        <is>
          <t>Spec sources</t>
        </is>
      </c>
      <c r="M141" s="11" t="inlineStr">
        <is>
          <t>Modules/07-Protocols-MCP-A2A/07-02-A2A-Agent-to-Agent.md</t>
        </is>
      </c>
      <c r="N141" s="11" t="inlineStr">
        <is>
          <t>No</t>
        </is>
      </c>
      <c r="O141" s="11" t="inlineStr"/>
    </row>
    <row r="142">
      <c r="A142" s="11" t="inlineStr">
        <is>
          <t>Module</t>
        </is>
      </c>
      <c r="B142" s="11" t="inlineStr">
        <is>
          <t>07-02</t>
        </is>
      </c>
      <c r="C142" s="11" t="inlineStr">
        <is>
          <t>07-Protocols-MCP-A2A</t>
        </is>
      </c>
      <c r="D142" s="11" t="n">
        <v>3</v>
      </c>
      <c r="E142" s="11" t="inlineStr">
        <is>
          <t>Google A2A Announcement</t>
        </is>
      </c>
      <c r="F142" s="12" t="inlineStr">
        <is>
          <t>https://developers.googleblog.com/en/a2a-a-new-era-of-agent-interoperability/</t>
        </is>
      </c>
      <c r="G142" s="12">
        <f>IF(F142="","",HYPERLINK(F142,"Open link"))</f>
        <v/>
      </c>
      <c r="H142" s="12">
        <f>IF(M142="","",IF(Config!$B$6="GitHub",HYPERLINK(Config!$B$5&amp;M142,"Open parent doc"),HYPERLINK("file://"&amp;Config!$B$4&amp;M142,"Open parent doc")))</f>
        <v/>
      </c>
      <c r="I142" s="11" t="inlineStr">
        <is>
          <t>Intro</t>
        </is>
      </c>
      <c r="J142" s="11" t="inlineStr">
        <is>
          <t>15 min</t>
        </is>
      </c>
      <c r="K142" s="11" t="inlineStr">
        <is>
          <t>Ecosystem context</t>
        </is>
      </c>
      <c r="L142" s="11" t="inlineStr">
        <is>
          <t>MCP complement</t>
        </is>
      </c>
      <c r="M142" s="11" t="inlineStr">
        <is>
          <t>Modules/07-Protocols-MCP-A2A/07-02-A2A-Agent-to-Agent.md</t>
        </is>
      </c>
      <c r="N142" s="11" t="inlineStr">
        <is>
          <t>No</t>
        </is>
      </c>
      <c r="O142" s="11" t="inlineStr"/>
    </row>
    <row r="143">
      <c r="A143" s="11" t="inlineStr">
        <is>
          <t>Module</t>
        </is>
      </c>
      <c r="B143" s="11" t="inlineStr">
        <is>
          <t>07-02</t>
        </is>
      </c>
      <c r="C143" s="11" t="inlineStr">
        <is>
          <t>07-Protocols-MCP-A2A</t>
        </is>
      </c>
      <c r="D143" s="11" t="n">
        <v>4</v>
      </c>
      <c r="E143" s="11" t="inlineStr">
        <is>
          <t>MCP Intro (contrast)</t>
        </is>
      </c>
      <c r="F143" s="12" t="inlineStr">
        <is>
          <t>https://modelcontextprotocol.io/docs/getting-started/intro</t>
        </is>
      </c>
      <c r="G143" s="12">
        <f>IF(F143="","",HYPERLINK(F143,"Open link"))</f>
        <v/>
      </c>
      <c r="H143" s="12">
        <f>IF(M143="","",IF(Config!$B$6="GitHub",HYPERLINK(Config!$B$5&amp;M143,"Open parent doc"),HYPERLINK("file://"&amp;Config!$B$4&amp;M143,"Open parent doc")))</f>
        <v/>
      </c>
      <c r="I143" s="11" t="inlineStr">
        <is>
          <t>Intro</t>
        </is>
      </c>
      <c r="J143" s="11" t="inlineStr">
        <is>
          <t>15 min</t>
        </is>
      </c>
      <c r="K143" s="11" t="inlineStr">
        <is>
          <t>Tool vs agent boundary</t>
        </is>
      </c>
      <c r="L143" s="11" t="inlineStr">
        <is>
          <t>Architecture</t>
        </is>
      </c>
      <c r="M143" s="11" t="inlineStr">
        <is>
          <t>Modules/07-Protocols-MCP-A2A/07-02-A2A-Agent-to-Agent.md</t>
        </is>
      </c>
      <c r="N143" s="11" t="inlineStr">
        <is>
          <t>No</t>
        </is>
      </c>
      <c r="O143" s="11" t="inlineStr"/>
    </row>
    <row r="144">
      <c r="A144" s="11" t="inlineStr">
        <is>
          <t>Module</t>
        </is>
      </c>
      <c r="B144" s="11" t="inlineStr">
        <is>
          <t>07-02</t>
        </is>
      </c>
      <c r="C144" s="11" t="inlineStr">
        <is>
          <t>07-Protocols-MCP-A2A</t>
        </is>
      </c>
      <c r="D144" s="11" t="n">
        <v>5</v>
      </c>
      <c r="E144" s="11" t="inlineStr">
        <is>
          <t>LangGraph Multi-Agent</t>
        </is>
      </c>
      <c r="F144" s="12" t="inlineStr">
        <is>
          <t>https://langchain-ai.github.io/langgraph/concepts/multi_agent/</t>
        </is>
      </c>
      <c r="G144" s="12">
        <f>IF(F144="","",HYPERLINK(F144,"Open link"))</f>
        <v/>
      </c>
      <c r="H144" s="12">
        <f>IF(M144="","",IF(Config!$B$6="GitHub",HYPERLINK(Config!$B$5&amp;M144,"Open parent doc"),HYPERLINK("file://"&amp;Config!$B$4&amp;M144,"Open parent doc")))</f>
        <v/>
      </c>
      <c r="I144" s="11" t="inlineStr">
        <is>
          <t>Intermediate</t>
        </is>
      </c>
      <c r="J144" s="11" t="inlineStr">
        <is>
          <t>30 min</t>
        </is>
      </c>
      <c r="K144" s="11" t="inlineStr">
        <is>
          <t>In-process alternative</t>
        </is>
      </c>
      <c r="L144" s="11" t="inlineStr">
        <is>
          <t>Supervisor patterns</t>
        </is>
      </c>
      <c r="M144" s="11" t="inlineStr">
        <is>
          <t>Modules/07-Protocols-MCP-A2A/07-02-A2A-Agent-to-Agent.md</t>
        </is>
      </c>
      <c r="N144" s="11" t="inlineStr">
        <is>
          <t>No</t>
        </is>
      </c>
      <c r="O144" s="11" t="inlineStr"/>
    </row>
    <row r="145">
      <c r="A145" s="11" t="inlineStr">
        <is>
          <t>Module</t>
        </is>
      </c>
      <c r="B145" s="11" t="inlineStr">
        <is>
          <t>07-03</t>
        </is>
      </c>
      <c r="C145" s="11" t="inlineStr">
        <is>
          <t>07-Protocols-MCP-A2A</t>
        </is>
      </c>
      <c r="D145" s="11" t="n">
        <v>1</v>
      </c>
      <c r="E145" s="11" t="inlineStr">
        <is>
          <t>A2A Protocol</t>
        </is>
      </c>
      <c r="F145" s="12" t="inlineStr">
        <is>
          <t>https://a2a-protocol.org/latest/</t>
        </is>
      </c>
      <c r="G145" s="12">
        <f>IF(F145="","",HYPERLINK(F145,"Open link"))</f>
        <v/>
      </c>
      <c r="H145" s="12">
        <f>IF(M145="","",IF(Config!$B$6="GitHub",HYPERLINK(Config!$B$5&amp;M145,"Open parent doc"),HYPERLINK("file://"&amp;Config!$B$4&amp;M145,"Open parent doc")))</f>
        <v/>
      </c>
      <c r="I145" s="11" t="inlineStr">
        <is>
          <t>Intermediate</t>
        </is>
      </c>
      <c r="J145" s="11" t="inlineStr">
        <is>
          <t>40 min</t>
        </is>
      </c>
      <c r="K145" s="11" t="inlineStr">
        <is>
          <t>Task async model</t>
        </is>
      </c>
      <c r="L145" s="11" t="inlineStr">
        <is>
          <t>Task lifecycle</t>
        </is>
      </c>
      <c r="M145" s="11" t="inlineStr">
        <is>
          <t>Modules/07-Protocols-MCP-A2A/07-03-Negotiation-Async-Workflows.md</t>
        </is>
      </c>
      <c r="N145" s="11" t="inlineStr">
        <is>
          <t>No</t>
        </is>
      </c>
      <c r="O145" s="11" t="inlineStr"/>
    </row>
    <row r="146">
      <c r="A146" s="11" t="inlineStr">
        <is>
          <t>Module</t>
        </is>
      </c>
      <c r="B146" s="11" t="inlineStr">
        <is>
          <t>07-03</t>
        </is>
      </c>
      <c r="C146" s="11" t="inlineStr">
        <is>
          <t>07-Protocols-MCP-A2A</t>
        </is>
      </c>
      <c r="D146" s="11" t="n">
        <v>2</v>
      </c>
      <c r="E146" s="11" t="inlineStr">
        <is>
          <t>LangGraph Persistence</t>
        </is>
      </c>
      <c r="F146" s="12" t="inlineStr">
        <is>
          <t>https://langchain-ai.github.io/langgraph/concepts/persistence/</t>
        </is>
      </c>
      <c r="G146" s="12">
        <f>IF(F146="","",HYPERLINK(F146,"Open link"))</f>
        <v/>
      </c>
      <c r="H146" s="12">
        <f>IF(M146="","",IF(Config!$B$6="GitHub",HYPERLINK(Config!$B$5&amp;M146,"Open parent doc"),HYPERLINK("file://"&amp;Config!$B$4&amp;M146,"Open parent doc")))</f>
        <v/>
      </c>
      <c r="I146" s="11" t="inlineStr">
        <is>
          <t>Intermediate</t>
        </is>
      </c>
      <c r="J146" s="11" t="inlineStr">
        <is>
          <t>35 min</t>
        </is>
      </c>
      <c r="K146" s="11" t="inlineStr">
        <is>
          <t>Checkpoint replay</t>
        </is>
      </c>
      <c r="L146" s="11" t="inlineStr">
        <is>
          <t>Threads; replay</t>
        </is>
      </c>
      <c r="M146" s="11" t="inlineStr">
        <is>
          <t>Modules/07-Protocols-MCP-A2A/07-03-Negotiation-Async-Workflows.md</t>
        </is>
      </c>
      <c r="N146" s="11" t="inlineStr">
        <is>
          <t>No</t>
        </is>
      </c>
      <c r="O146" s="11" t="inlineStr"/>
    </row>
    <row r="147">
      <c r="A147" s="11" t="inlineStr">
        <is>
          <t>Module</t>
        </is>
      </c>
      <c r="B147" s="11" t="inlineStr">
        <is>
          <t>07-03</t>
        </is>
      </c>
      <c r="C147" s="11" t="inlineStr">
        <is>
          <t>07-Protocols-MCP-A2A</t>
        </is>
      </c>
      <c r="D147" s="11" t="n">
        <v>3</v>
      </c>
      <c r="E147" s="11" t="inlineStr">
        <is>
          <t>Temporal Workflows</t>
        </is>
      </c>
      <c r="F147" s="12" t="inlineStr">
        <is>
          <t>https://docs.temporal.io/workflows</t>
        </is>
      </c>
      <c r="G147" s="12">
        <f>IF(F147="","",HYPERLINK(F147,"Open link"))</f>
        <v/>
      </c>
      <c r="H147" s="12">
        <f>IF(M147="","",IF(Config!$B$6="GitHub",HYPERLINK(Config!$B$5&amp;M147,"Open parent doc"),HYPERLINK("file://"&amp;Config!$B$4&amp;M147,"Open parent doc")))</f>
        <v/>
      </c>
      <c r="I147" s="11" t="inlineStr">
        <is>
          <t>Intermediate</t>
        </is>
      </c>
      <c r="J147" s="11" t="inlineStr">
        <is>
          <t>45 min</t>
        </is>
      </c>
      <c r="K147" s="11" t="inlineStr">
        <is>
          <t>Async saga patterns</t>
        </is>
      </c>
      <c r="L147" s="11" t="inlineStr">
        <is>
          <t>Signals; timers</t>
        </is>
      </c>
      <c r="M147" s="11" t="inlineStr">
        <is>
          <t>Modules/07-Protocols-MCP-A2A/07-03-Negotiation-Async-Workflows.md</t>
        </is>
      </c>
      <c r="N147" s="11" t="inlineStr">
        <is>
          <t>No</t>
        </is>
      </c>
      <c r="O147" s="11" t="inlineStr"/>
    </row>
    <row r="148">
      <c r="A148" s="11" t="inlineStr">
        <is>
          <t>Module</t>
        </is>
      </c>
      <c r="B148" s="11" t="inlineStr">
        <is>
          <t>07-03</t>
        </is>
      </c>
      <c r="C148" s="11" t="inlineStr">
        <is>
          <t>07-Protocols-MCP-A2A</t>
        </is>
      </c>
      <c r="D148" s="11" t="n">
        <v>4</v>
      </c>
      <c r="E148" s="11" t="inlineStr">
        <is>
          <t>OpenTelemetry</t>
        </is>
      </c>
      <c r="F148" s="12" t="inlineStr">
        <is>
          <t>https://opentelemetry.io/docs/</t>
        </is>
      </c>
      <c r="G148" s="12">
        <f>IF(F148="","",HYPERLINK(F148,"Open link"))</f>
        <v/>
      </c>
      <c r="H148" s="12">
        <f>IF(M148="","",IF(Config!$B$6="GitHub",HYPERLINK(Config!$B$5&amp;M148,"Open parent doc"),HYPERLINK("file://"&amp;Config!$B$4&amp;M148,"Open parent doc")))</f>
        <v/>
      </c>
      <c r="I148" s="11" t="inlineStr">
        <is>
          <t>Intermediate</t>
        </is>
      </c>
      <c r="J148" s="11" t="inlineStr">
        <is>
          <t>30 min</t>
        </is>
      </c>
      <c r="K148" s="11" t="inlineStr">
        <is>
          <t>Trace propagation</t>
        </is>
      </c>
      <c r="L148" s="11" t="inlineStr">
        <is>
          <t>Context</t>
        </is>
      </c>
      <c r="M148" s="11" t="inlineStr">
        <is>
          <t>Modules/07-Protocols-MCP-A2A/07-03-Negotiation-Async-Workflows.md</t>
        </is>
      </c>
      <c r="N148" s="11" t="inlineStr">
        <is>
          <t>No</t>
        </is>
      </c>
      <c r="O148" s="11" t="inlineStr"/>
    </row>
    <row r="149">
      <c r="A149" s="11" t="inlineStr">
        <is>
          <t>Module</t>
        </is>
      </c>
      <c r="B149" s="11" t="inlineStr">
        <is>
          <t>07-03</t>
        </is>
      </c>
      <c r="C149" s="11" t="inlineStr">
        <is>
          <t>07-Protocols-MCP-A2A</t>
        </is>
      </c>
      <c r="D149" s="11" t="n">
        <v>5</v>
      </c>
      <c r="E149" s="11" t="inlineStr">
        <is>
          <t>Enterprise Integration Patterns</t>
        </is>
      </c>
      <c r="F149" s="12" t="inlineStr">
        <is>
          <t>https://www.enterpriseintegrationpatterns.com/</t>
        </is>
      </c>
      <c r="G149" s="12">
        <f>IF(F149="","",HYPERLINK(F149,"Open link"))</f>
        <v/>
      </c>
      <c r="H149" s="12">
        <f>IF(M149="","",IF(Config!$B$6="GitHub",HYPERLINK(Config!$B$5&amp;M149,"Open parent doc"),HYPERLINK("file://"&amp;Config!$B$4&amp;M149,"Open parent doc")))</f>
        <v/>
      </c>
      <c r="I149" s="11" t="inlineStr">
        <is>
          <t>Advanced</t>
        </is>
      </c>
      <c r="J149" s="11" t="inlineStr">
        <is>
          <t>60 min</t>
        </is>
      </c>
      <c r="K149" s="11" t="inlineStr">
        <is>
          <t>Message routing</t>
        </is>
      </c>
      <c r="L149" s="11" t="inlineStr">
        <is>
          <t>Saga; DLQ</t>
        </is>
      </c>
      <c r="M149" s="11" t="inlineStr">
        <is>
          <t>Modules/07-Protocols-MCP-A2A/07-03-Negotiation-Async-Workflows.md</t>
        </is>
      </c>
      <c r="N149" s="11" t="inlineStr">
        <is>
          <t>No</t>
        </is>
      </c>
      <c r="O149" s="11" t="inlineStr"/>
    </row>
    <row r="150">
      <c r="A150" s="11" t="inlineStr">
        <is>
          <t>Module</t>
        </is>
      </c>
      <c r="B150" s="11" t="inlineStr">
        <is>
          <t>07-04</t>
        </is>
      </c>
      <c r="C150" s="11" t="inlineStr">
        <is>
          <t>07-Protocols-MCP-A2A</t>
        </is>
      </c>
      <c r="D150" s="11" t="n">
        <v>1</v>
      </c>
      <c r="E150" s="11" t="inlineStr">
        <is>
          <t>https://modelcontextprotocol.io/</t>
        </is>
      </c>
      <c r="F150" s="12" t="inlineStr">
        <is>
          <t>https://modelcontextprotocol.io/</t>
        </is>
      </c>
      <c r="G150" s="12">
        <f>IF(F150="","",HYPERLINK(F150,"Open link"))</f>
        <v/>
      </c>
      <c r="H150" s="12">
        <f>IF(M150="","",IF(Config!$B$6="GitHub",HYPERLINK(Config!$B$5&amp;M150,"Open parent doc"),HYPERLINK("file://"&amp;Config!$B$4&amp;M150,"Open parent doc")))</f>
        <v/>
      </c>
      <c r="I150" s="11" t="inlineStr"/>
      <c r="J150" s="11" t="inlineStr"/>
      <c r="K150" s="11" t="inlineStr"/>
      <c r="L150" s="11" t="inlineStr"/>
      <c r="M150" s="11" t="inlineStr">
        <is>
          <t>Modules/07-Protocols-MCP-A2A/07-04-MCP-Production-Patterns.md</t>
        </is>
      </c>
      <c r="N150" s="11" t="inlineStr">
        <is>
          <t>No</t>
        </is>
      </c>
      <c r="O150" s="11" t="inlineStr"/>
    </row>
    <row r="151">
      <c r="A151" s="11" t="inlineStr">
        <is>
          <t>Module</t>
        </is>
      </c>
      <c r="B151" s="11" t="inlineStr">
        <is>
          <t>07-04</t>
        </is>
      </c>
      <c r="C151" s="11" t="inlineStr">
        <is>
          <t>07-Protocols-MCP-A2A</t>
        </is>
      </c>
      <c r="D151" s="11" t="n">
        <v>2</v>
      </c>
      <c r="E151" s="11" t="inlineStr">
        <is>
          <t>https://spec.modelcontextprotocol.io/</t>
        </is>
      </c>
      <c r="F151" s="12" t="inlineStr">
        <is>
          <t>https://spec.modelcontextprotocol.io/</t>
        </is>
      </c>
      <c r="G151" s="12">
        <f>IF(F151="","",HYPERLINK(F151,"Open link"))</f>
        <v/>
      </c>
      <c r="H151" s="12">
        <f>IF(M151="","",IF(Config!$B$6="GitHub",HYPERLINK(Config!$B$5&amp;M151,"Open parent doc"),HYPERLINK("file://"&amp;Config!$B$4&amp;M151,"Open parent doc")))</f>
        <v/>
      </c>
      <c r="I151" s="11" t="inlineStr"/>
      <c r="J151" s="11" t="inlineStr"/>
      <c r="K151" s="11" t="inlineStr"/>
      <c r="L151" s="11" t="inlineStr"/>
      <c r="M151" s="11" t="inlineStr">
        <is>
          <t>Modules/07-Protocols-MCP-A2A/07-04-MCP-Production-Patterns.md</t>
        </is>
      </c>
      <c r="N151" s="11" t="inlineStr">
        <is>
          <t>No</t>
        </is>
      </c>
      <c r="O151" s="11" t="inlineStr"/>
    </row>
    <row r="152">
      <c r="A152" s="11" t="inlineStr">
        <is>
          <t>Module</t>
        </is>
      </c>
      <c r="B152" s="11" t="inlineStr">
        <is>
          <t>07-04</t>
        </is>
      </c>
      <c r="C152" s="11" t="inlineStr">
        <is>
          <t>07-Protocols-MCP-A2A</t>
        </is>
      </c>
      <c r="D152" s="11" t="n">
        <v>3</v>
      </c>
      <c r="E152" s="11" t="inlineStr">
        <is>
          <t>https://github.com/modelcontextprotocol/python-sdk</t>
        </is>
      </c>
      <c r="F152" s="12" t="inlineStr">
        <is>
          <t>https://github.com/modelcontextprotocol/python-sdk</t>
        </is>
      </c>
      <c r="G152" s="12">
        <f>IF(F152="","",HYPERLINK(F152,"Open link"))</f>
        <v/>
      </c>
      <c r="H152" s="12">
        <f>IF(M152="","",IF(Config!$B$6="GitHub",HYPERLINK(Config!$B$5&amp;M152,"Open parent doc"),HYPERLINK("file://"&amp;Config!$B$4&amp;M152,"Open parent doc")))</f>
        <v/>
      </c>
      <c r="I152" s="11" t="inlineStr"/>
      <c r="J152" s="11" t="inlineStr"/>
      <c r="K152" s="11" t="inlineStr"/>
      <c r="L152" s="11" t="inlineStr"/>
      <c r="M152" s="11" t="inlineStr">
        <is>
          <t>Modules/07-Protocols-MCP-A2A/07-04-MCP-Production-Patterns.md</t>
        </is>
      </c>
      <c r="N152" s="11" t="inlineStr">
        <is>
          <t>No</t>
        </is>
      </c>
      <c r="O152" s="11" t="inlineStr"/>
    </row>
    <row r="153">
      <c r="A153" s="11" t="inlineStr">
        <is>
          <t>Module</t>
        </is>
      </c>
      <c r="B153" s="11" t="inlineStr">
        <is>
          <t>07-04</t>
        </is>
      </c>
      <c r="C153" s="11" t="inlineStr">
        <is>
          <t>07-Protocols-MCP-A2A</t>
        </is>
      </c>
      <c r="D153" s="11" t="n">
        <v>4</v>
      </c>
      <c r="E153" s="11" t="inlineStr">
        <is>
          <t>https://docs.cursor.com/</t>
        </is>
      </c>
      <c r="F153" s="12" t="inlineStr">
        <is>
          <t>https://docs.cursor.com/</t>
        </is>
      </c>
      <c r="G153" s="12">
        <f>IF(F153="","",HYPERLINK(F153,"Open link"))</f>
        <v/>
      </c>
      <c r="H153" s="12">
        <f>IF(M153="","",IF(Config!$B$6="GitHub",HYPERLINK(Config!$B$5&amp;M153,"Open parent doc"),HYPERLINK("file://"&amp;Config!$B$4&amp;M153,"Open parent doc")))</f>
        <v/>
      </c>
      <c r="I153" s="11" t="inlineStr"/>
      <c r="J153" s="11" t="inlineStr"/>
      <c r="K153" s="11" t="inlineStr"/>
      <c r="L153" s="11" t="inlineStr"/>
      <c r="M153" s="11" t="inlineStr">
        <is>
          <t>Modules/07-Protocols-MCP-A2A/07-04-MCP-Production-Patterns.md</t>
        </is>
      </c>
      <c r="N153" s="11" t="inlineStr">
        <is>
          <t>No</t>
        </is>
      </c>
      <c r="O153" s="11" t="inlineStr"/>
    </row>
    <row r="154">
      <c r="A154" s="11" t="inlineStr">
        <is>
          <t>Module</t>
        </is>
      </c>
      <c r="B154" s="11" t="inlineStr">
        <is>
          <t>07-04</t>
        </is>
      </c>
      <c r="C154" s="11" t="inlineStr">
        <is>
          <t>07-Protocols-MCP-A2A</t>
        </is>
      </c>
      <c r="D154" s="11" t="n">
        <v>5</v>
      </c>
      <c r="E154" s="11" t="inlineStr">
        <is>
          <t>https://support.anthropic.com/</t>
        </is>
      </c>
      <c r="F154" s="12" t="inlineStr">
        <is>
          <t>https://support.anthropic.com/</t>
        </is>
      </c>
      <c r="G154" s="12">
        <f>IF(F154="","",HYPERLINK(F154,"Open link"))</f>
        <v/>
      </c>
      <c r="H154" s="12">
        <f>IF(M154="","",IF(Config!$B$6="GitHub",HYPERLINK(Config!$B$5&amp;M154,"Open parent doc"),HYPERLINK("file://"&amp;Config!$B$4&amp;M154,"Open parent doc")))</f>
        <v/>
      </c>
      <c r="I154" s="11" t="inlineStr"/>
      <c r="J154" s="11" t="inlineStr"/>
      <c r="K154" s="11" t="inlineStr"/>
      <c r="L154" s="11" t="inlineStr"/>
      <c r="M154" s="11" t="inlineStr">
        <is>
          <t>Modules/07-Protocols-MCP-A2A/07-04-MCP-Production-Patterns.md</t>
        </is>
      </c>
      <c r="N154" s="11" t="inlineStr">
        <is>
          <t>No</t>
        </is>
      </c>
      <c r="O154" s="11" t="inlineStr"/>
    </row>
    <row r="155">
      <c r="A155" s="11" t="inlineStr">
        <is>
          <t>Module</t>
        </is>
      </c>
      <c r="B155" s="11" t="inlineStr">
        <is>
          <t>07-04</t>
        </is>
      </c>
      <c r="C155" s="11" t="inlineStr">
        <is>
          <t>07-Protocols-MCP-A2A</t>
        </is>
      </c>
      <c r="D155" s="11" t="n">
        <v>6</v>
      </c>
      <c r="E155" s="11" t="inlineStr">
        <is>
          <t>https://www.openpolicyagent.org/docs/latest/</t>
        </is>
      </c>
      <c r="F155" s="12" t="inlineStr">
        <is>
          <t>https://www.openpolicyagent.org/docs/latest/</t>
        </is>
      </c>
      <c r="G155" s="12">
        <f>IF(F155="","",HYPERLINK(F155,"Open link"))</f>
        <v/>
      </c>
      <c r="H155" s="12">
        <f>IF(M155="","",IF(Config!$B$6="GitHub",HYPERLINK(Config!$B$5&amp;M155,"Open parent doc"),HYPERLINK("file://"&amp;Config!$B$4&amp;M155,"Open parent doc")))</f>
        <v/>
      </c>
      <c r="I155" s="11" t="inlineStr"/>
      <c r="J155" s="11" t="inlineStr"/>
      <c r="K155" s="11" t="inlineStr"/>
      <c r="L155" s="11" t="inlineStr"/>
      <c r="M155" s="11" t="inlineStr">
        <is>
          <t>Modules/07-Protocols-MCP-A2A/07-04-MCP-Production-Patterns.md</t>
        </is>
      </c>
      <c r="N155" s="11" t="inlineStr">
        <is>
          <t>No</t>
        </is>
      </c>
      <c r="O155" s="11" t="inlineStr"/>
    </row>
    <row r="156">
      <c r="A156" s="11" t="inlineStr">
        <is>
          <t>Module</t>
        </is>
      </c>
      <c r="B156" s="11" t="inlineStr">
        <is>
          <t>07-04</t>
        </is>
      </c>
      <c r="C156" s="11" t="inlineStr">
        <is>
          <t>07-Protocols-MCP-A2A</t>
        </is>
      </c>
      <c r="D156" s="11" t="n">
        <v>7</v>
      </c>
      <c r="E156" s="11" t="inlineStr">
        <is>
          <t>https://owasp.org/www-project-top-10-for-large-language-model-applications/</t>
        </is>
      </c>
      <c r="F156" s="12" t="inlineStr">
        <is>
          <t>https://owasp.org/www-project-top-10-for-large-language-model-applications/</t>
        </is>
      </c>
      <c r="G156" s="12">
        <f>IF(F156="","",HYPERLINK(F156,"Open link"))</f>
        <v/>
      </c>
      <c r="H156" s="12">
        <f>IF(M156="","",IF(Config!$B$6="GitHub",HYPERLINK(Config!$B$5&amp;M156,"Open parent doc"),HYPERLINK("file://"&amp;Config!$B$4&amp;M156,"Open parent doc")))</f>
        <v/>
      </c>
      <c r="I156" s="11" t="inlineStr"/>
      <c r="J156" s="11" t="inlineStr"/>
      <c r="K156" s="11" t="inlineStr"/>
      <c r="L156" s="11" t="inlineStr"/>
      <c r="M156" s="11" t="inlineStr">
        <is>
          <t>Modules/07-Protocols-MCP-A2A/07-04-MCP-Production-Patterns.md</t>
        </is>
      </c>
      <c r="N156" s="11" t="inlineStr">
        <is>
          <t>No</t>
        </is>
      </c>
      <c r="O156" s="11" t="inlineStr"/>
    </row>
    <row r="157">
      <c r="A157" s="11" t="inlineStr">
        <is>
          <t>Module</t>
        </is>
      </c>
      <c r="B157" s="11" t="inlineStr">
        <is>
          <t>08-01</t>
        </is>
      </c>
      <c r="C157" s="11" t="inlineStr">
        <is>
          <t>08-Evaluation-LLMOps</t>
        </is>
      </c>
      <c r="D157" s="11" t="n">
        <v>1</v>
      </c>
      <c r="E157" s="11" t="inlineStr">
        <is>
          <t>DeepEval Getting Started</t>
        </is>
      </c>
      <c r="F157" s="12" t="inlineStr">
        <is>
          <t>https://deepeval.com/docs/getting-started</t>
        </is>
      </c>
      <c r="G157" s="12">
        <f>IF(F157="","",HYPERLINK(F157,"Open link"))</f>
        <v/>
      </c>
      <c r="H157" s="12">
        <f>IF(M157="","",IF(Config!$B$6="GitHub",HYPERLINK(Config!$B$5&amp;M157,"Open parent doc"),HYPERLINK("file://"&amp;Config!$B$4&amp;M157,"Open parent doc")))</f>
        <v/>
      </c>
      <c r="I157" s="11" t="inlineStr">
        <is>
          <t>Intro</t>
        </is>
      </c>
      <c r="J157" s="11" t="inlineStr">
        <is>
          <t>30 min</t>
        </is>
      </c>
      <c r="K157" s="11" t="inlineStr">
        <is>
          <t>GEval + CI</t>
        </is>
      </c>
      <c r="L157" s="11" t="inlineStr">
        <is>
          <t>Metrics; test cases</t>
        </is>
      </c>
      <c r="M157" s="11" t="inlineStr">
        <is>
          <t>Modules/08-Evaluation-LLMOps/08-01-Evaluation-Lifecycle.md</t>
        </is>
      </c>
      <c r="N157" s="11" t="inlineStr">
        <is>
          <t>No</t>
        </is>
      </c>
      <c r="O157" s="11" t="inlineStr"/>
    </row>
    <row r="158">
      <c r="A158" s="11" t="inlineStr">
        <is>
          <t>Module</t>
        </is>
      </c>
      <c r="B158" s="11" t="inlineStr">
        <is>
          <t>08-01</t>
        </is>
      </c>
      <c r="C158" s="11" t="inlineStr">
        <is>
          <t>08-Evaluation-LLMOps</t>
        </is>
      </c>
      <c r="D158" s="11" t="n">
        <v>2</v>
      </c>
      <c r="E158" s="11" t="inlineStr">
        <is>
          <t>DeepEval GEval</t>
        </is>
      </c>
      <c r="F158" s="12" t="inlineStr">
        <is>
          <t>https://deepeval.com/docs/metrics-llm-evals</t>
        </is>
      </c>
      <c r="G158" s="12">
        <f>IF(F158="","",HYPERLINK(F158,"Open link"))</f>
        <v/>
      </c>
      <c r="H158" s="12">
        <f>IF(M158="","",IF(Config!$B$6="GitHub",HYPERLINK(Config!$B$5&amp;M158,"Open parent doc"),HYPERLINK("file://"&amp;Config!$B$4&amp;M158,"Open parent doc")))</f>
        <v/>
      </c>
      <c r="I158" s="11" t="inlineStr">
        <is>
          <t>Intermediate</t>
        </is>
      </c>
      <c r="J158" s="11" t="inlineStr">
        <is>
          <t>35 min</t>
        </is>
      </c>
      <c r="K158" s="11" t="inlineStr">
        <is>
          <t>Custom criteria</t>
        </is>
      </c>
      <c r="L158" s="11" t="inlineStr">
        <is>
          <t>GEval setup</t>
        </is>
      </c>
      <c r="M158" s="11" t="inlineStr">
        <is>
          <t>Modules/08-Evaluation-LLMOps/08-01-Evaluation-Lifecycle.md</t>
        </is>
      </c>
      <c r="N158" s="11" t="inlineStr">
        <is>
          <t>No</t>
        </is>
      </c>
      <c r="O158" s="11" t="inlineStr"/>
    </row>
    <row r="159">
      <c r="A159" s="11" t="inlineStr">
        <is>
          <t>Module</t>
        </is>
      </c>
      <c r="B159" s="11" t="inlineStr">
        <is>
          <t>08-01</t>
        </is>
      </c>
      <c r="C159" s="11" t="inlineStr">
        <is>
          <t>08-Evaluation-LLMOps</t>
        </is>
      </c>
      <c r="D159" s="11" t="n">
        <v>3</v>
      </c>
      <c r="E159" s="11" t="inlineStr">
        <is>
          <t>LangSmith Evaluation</t>
        </is>
      </c>
      <c r="F159" s="12" t="inlineStr">
        <is>
          <t>https://docs.smith.langchain.com/evaluation</t>
        </is>
      </c>
      <c r="G159" s="12">
        <f>IF(F159="","",HYPERLINK(F159,"Open link"))</f>
        <v/>
      </c>
      <c r="H159" s="12">
        <f>IF(M159="","",IF(Config!$B$6="GitHub",HYPERLINK(Config!$B$5&amp;M159,"Open parent doc"),HYPERLINK("file://"&amp;Config!$B$4&amp;M159,"Open parent doc")))</f>
        <v/>
      </c>
      <c r="I159" s="11" t="inlineStr">
        <is>
          <t>Intermediate</t>
        </is>
      </c>
      <c r="J159" s="11" t="inlineStr">
        <is>
          <t>40 min</t>
        </is>
      </c>
      <c r="K159" s="11" t="inlineStr">
        <is>
          <t>Datasets + experiments</t>
        </is>
      </c>
      <c r="L159" s="11" t="inlineStr">
        <is>
          <t>Feedback</t>
        </is>
      </c>
      <c r="M159" s="11" t="inlineStr">
        <is>
          <t>Modules/08-Evaluation-LLMOps/08-01-Evaluation-Lifecycle.md</t>
        </is>
      </c>
      <c r="N159" s="11" t="inlineStr">
        <is>
          <t>No</t>
        </is>
      </c>
      <c r="O159" s="11" t="inlineStr"/>
    </row>
    <row r="160">
      <c r="A160" s="11" t="inlineStr">
        <is>
          <t>Module</t>
        </is>
      </c>
      <c r="B160" s="11" t="inlineStr">
        <is>
          <t>08-01</t>
        </is>
      </c>
      <c r="C160" s="11" t="inlineStr">
        <is>
          <t>08-Evaluation-LLMOps</t>
        </is>
      </c>
      <c r="D160" s="11" t="n">
        <v>4</v>
      </c>
      <c r="E160" s="11" t="inlineStr">
        <is>
          <t>OpenAI Evals Guide</t>
        </is>
      </c>
      <c r="F160" s="12" t="inlineStr">
        <is>
          <t>https://platform.openai.com/docs/guides/evals</t>
        </is>
      </c>
      <c r="G160" s="12">
        <f>IF(F160="","",HYPERLINK(F160,"Open link"))</f>
        <v/>
      </c>
      <c r="H160" s="12">
        <f>IF(M160="","",IF(Config!$B$6="GitHub",HYPERLINK(Config!$B$5&amp;M160,"Open parent doc"),HYPERLINK("file://"&amp;Config!$B$4&amp;M160,"Open parent doc")))</f>
        <v/>
      </c>
      <c r="I160" s="11" t="inlineStr">
        <is>
          <t>Intermediate</t>
        </is>
      </c>
      <c r="J160" s="11" t="inlineStr">
        <is>
          <t>35 min</t>
        </is>
      </c>
      <c r="K160" s="11" t="inlineStr">
        <is>
          <t>Benchmark mindset</t>
        </is>
      </c>
      <c r="L160" s="11" t="inlineStr">
        <is>
          <t>Best practices</t>
        </is>
      </c>
      <c r="M160" s="11" t="inlineStr">
        <is>
          <t>Modules/08-Evaluation-LLMOps/08-01-Evaluation-Lifecycle.md</t>
        </is>
      </c>
      <c r="N160" s="11" t="inlineStr">
        <is>
          <t>No</t>
        </is>
      </c>
      <c r="O160" s="11" t="inlineStr"/>
    </row>
    <row r="161">
      <c r="A161" s="11" t="inlineStr">
        <is>
          <t>Module</t>
        </is>
      </c>
      <c r="B161" s="11" t="inlineStr">
        <is>
          <t>08-01</t>
        </is>
      </c>
      <c r="C161" s="11" t="inlineStr">
        <is>
          <t>08-Evaluation-LLMOps</t>
        </is>
      </c>
      <c r="D161" s="11" t="n">
        <v>5</v>
      </c>
      <c r="E161" s="11" t="inlineStr">
        <is>
          <t>HELM (Stanford)</t>
        </is>
      </c>
      <c r="F161" s="12" t="inlineStr">
        <is>
          <t>https://crfm.stanford.edu/helm/</t>
        </is>
      </c>
      <c r="G161" s="12">
        <f>IF(F161="","",HYPERLINK(F161,"Open link"))</f>
        <v/>
      </c>
      <c r="H161" s="12">
        <f>IF(M161="","",IF(Config!$B$6="GitHub",HYPERLINK(Config!$B$5&amp;M161,"Open parent doc"),HYPERLINK("file://"&amp;Config!$B$4&amp;M161,"Open parent doc")))</f>
        <v/>
      </c>
      <c r="I161" s="11" t="inlineStr">
        <is>
          <t>Advanced</t>
        </is>
      </c>
      <c r="J161" s="11" t="inlineStr">
        <is>
          <t>60 min</t>
        </is>
      </c>
      <c r="K161" s="11" t="inlineStr">
        <is>
          <t>Holistic eval framing</t>
        </is>
      </c>
      <c r="L161" s="11" t="inlineStr">
        <is>
          <t>Metrics taxonomy</t>
        </is>
      </c>
      <c r="M161" s="11" t="inlineStr">
        <is>
          <t>Modules/08-Evaluation-LLMOps/08-01-Evaluation-Lifecycle.md</t>
        </is>
      </c>
      <c r="N161" s="11" t="inlineStr">
        <is>
          <t>No</t>
        </is>
      </c>
      <c r="O161" s="11" t="inlineStr"/>
    </row>
    <row r="162">
      <c r="A162" s="11" t="inlineStr">
        <is>
          <t>Module</t>
        </is>
      </c>
      <c r="B162" s="11" t="inlineStr">
        <is>
          <t>08-02</t>
        </is>
      </c>
      <c r="C162" s="11" t="inlineStr">
        <is>
          <t>08-Evaluation-LLMOps</t>
        </is>
      </c>
      <c r="D162" s="11" t="n">
        <v>1</v>
      </c>
      <c r="E162" s="11" t="inlineStr">
        <is>
          <t>LangSmith Docs</t>
        </is>
      </c>
      <c r="F162" s="12" t="inlineStr">
        <is>
          <t>https://docs.smith.langchain.com/</t>
        </is>
      </c>
      <c r="G162" s="12">
        <f>IF(F162="","",HYPERLINK(F162,"Open link"))</f>
        <v/>
      </c>
      <c r="H162" s="12">
        <f>IF(M162="","",IF(Config!$B$6="GitHub",HYPERLINK(Config!$B$5&amp;M162,"Open parent doc"),HYPERLINK("file://"&amp;Config!$B$4&amp;M162,"Open parent doc")))</f>
        <v/>
      </c>
      <c r="I162" s="11" t="inlineStr">
        <is>
          <t>Intro</t>
        </is>
      </c>
      <c r="J162" s="11" t="inlineStr">
        <is>
          <t>40 min</t>
        </is>
      </c>
      <c r="K162" s="11" t="inlineStr">
        <is>
          <t>Trace + eval</t>
        </is>
      </c>
      <c r="L162" s="11" t="inlineStr">
        <is>
          <t>Tracing; datasets</t>
        </is>
      </c>
      <c r="M162" s="11" t="inlineStr">
        <is>
          <t>Modules/08-Evaluation-LLMOps/08-02-Observability-LangSmith-OTel.md</t>
        </is>
      </c>
      <c r="N162" s="11" t="inlineStr">
        <is>
          <t>No</t>
        </is>
      </c>
      <c r="O162" s="11" t="inlineStr"/>
    </row>
    <row r="163">
      <c r="A163" s="11" t="inlineStr">
        <is>
          <t>Module</t>
        </is>
      </c>
      <c r="B163" s="11" t="inlineStr">
        <is>
          <t>08-02</t>
        </is>
      </c>
      <c r="C163" s="11" t="inlineStr">
        <is>
          <t>08-Evaluation-LLMOps</t>
        </is>
      </c>
      <c r="D163" s="11" t="n">
        <v>2</v>
      </c>
      <c r="E163" s="11" t="inlineStr">
        <is>
          <t>LangSmith Tracing</t>
        </is>
      </c>
      <c r="F163" s="12" t="inlineStr">
        <is>
          <t>https://docs.smith.langchain.com/tracing</t>
        </is>
      </c>
      <c r="G163" s="12">
        <f>IF(F163="","",HYPERLINK(F163,"Open link"))</f>
        <v/>
      </c>
      <c r="H163" s="12">
        <f>IF(M163="","",IF(Config!$B$6="GitHub",HYPERLINK(Config!$B$5&amp;M163,"Open parent doc"),HYPERLINK("file://"&amp;Config!$B$4&amp;M163,"Open parent doc")))</f>
        <v/>
      </c>
      <c r="I163" s="11" t="inlineStr">
        <is>
          <t>Intermediate</t>
        </is>
      </c>
      <c r="J163" s="11" t="inlineStr">
        <is>
          <t>35 min</t>
        </is>
      </c>
      <c r="K163" s="11" t="inlineStr">
        <is>
          <t>Setup</t>
        </is>
      </c>
      <c r="L163" s="11" t="inlineStr">
        <is>
          <t>Projects; runs</t>
        </is>
      </c>
      <c r="M163" s="11" t="inlineStr">
        <is>
          <t>Modules/08-Evaluation-LLMOps/08-02-Observability-LangSmith-OTel.md</t>
        </is>
      </c>
      <c r="N163" s="11" t="inlineStr">
        <is>
          <t>No</t>
        </is>
      </c>
      <c r="O163" s="11" t="inlineStr"/>
    </row>
    <row r="164">
      <c r="A164" s="11" t="inlineStr">
        <is>
          <t>Module</t>
        </is>
      </c>
      <c r="B164" s="11" t="inlineStr">
        <is>
          <t>08-02</t>
        </is>
      </c>
      <c r="C164" s="11" t="inlineStr">
        <is>
          <t>08-Evaluation-LLMOps</t>
        </is>
      </c>
      <c r="D164" s="11" t="n">
        <v>3</v>
      </c>
      <c r="E164" s="11" t="inlineStr">
        <is>
          <t>OpenTelemetry Docs</t>
        </is>
      </c>
      <c r="F164" s="12" t="inlineStr">
        <is>
          <t>https://opentelemetry.io/docs/</t>
        </is>
      </c>
      <c r="G164" s="12">
        <f>IF(F164="","",HYPERLINK(F164,"Open link"))</f>
        <v/>
      </c>
      <c r="H164" s="12">
        <f>IF(M164="","",IF(Config!$B$6="GitHub",HYPERLINK(Config!$B$5&amp;M164,"Open parent doc"),HYPERLINK("file://"&amp;Config!$B$4&amp;M164,"Open parent doc")))</f>
        <v/>
      </c>
      <c r="I164" s="11" t="inlineStr">
        <is>
          <t>Intermediate</t>
        </is>
      </c>
      <c r="J164" s="11" t="inlineStr">
        <is>
          <t>45 min</t>
        </is>
      </c>
      <c r="K164" s="11" t="inlineStr">
        <is>
          <t>Platform APM</t>
        </is>
      </c>
      <c r="L164" s="11" t="inlineStr">
        <is>
          <t>Concepts; SDK</t>
        </is>
      </c>
      <c r="M164" s="11" t="inlineStr">
        <is>
          <t>Modules/08-Evaluation-LLMOps/08-02-Observability-LangSmith-OTel.md</t>
        </is>
      </c>
      <c r="N164" s="11" t="inlineStr">
        <is>
          <t>No</t>
        </is>
      </c>
      <c r="O164" s="11" t="inlineStr"/>
    </row>
    <row r="165">
      <c r="A165" s="11" t="inlineStr">
        <is>
          <t>Module</t>
        </is>
      </c>
      <c r="B165" s="11" t="inlineStr">
        <is>
          <t>08-02</t>
        </is>
      </c>
      <c r="C165" s="11" t="inlineStr">
        <is>
          <t>08-Evaluation-LLMOps</t>
        </is>
      </c>
      <c r="D165" s="11" t="n">
        <v>4</v>
      </c>
      <c r="E165" s="11" t="inlineStr">
        <is>
          <t>OTel GenAI Semantics</t>
        </is>
      </c>
      <c r="F165" s="12" t="inlineStr">
        <is>
          <t>https://opentelemetry.io/docs/specs/semconv/gen-ai/</t>
        </is>
      </c>
      <c r="G165" s="12">
        <f>IF(F165="","",HYPERLINK(F165,"Open link"))</f>
        <v/>
      </c>
      <c r="H165" s="12">
        <f>IF(M165="","",IF(Config!$B$6="GitHub",HYPERLINK(Config!$B$5&amp;M165,"Open parent doc"),HYPERLINK("file://"&amp;Config!$B$4&amp;M165,"Open parent doc")))</f>
        <v/>
      </c>
      <c r="I165" s="11" t="inlineStr">
        <is>
          <t>Advanced</t>
        </is>
      </c>
      <c r="J165" s="11" t="inlineStr">
        <is>
          <t>40 min</t>
        </is>
      </c>
      <c r="K165" s="11" t="inlineStr">
        <is>
          <t>Standard attributes</t>
        </is>
      </c>
      <c r="L165" s="11" t="inlineStr">
        <is>
          <t>Span names</t>
        </is>
      </c>
      <c r="M165" s="11" t="inlineStr">
        <is>
          <t>Modules/08-Evaluation-LLMOps/08-02-Observability-LangSmith-OTel.md</t>
        </is>
      </c>
      <c r="N165" s="11" t="inlineStr">
        <is>
          <t>No</t>
        </is>
      </c>
      <c r="O165" s="11" t="inlineStr"/>
    </row>
    <row r="166">
      <c r="A166" s="11" t="inlineStr">
        <is>
          <t>Module</t>
        </is>
      </c>
      <c r="B166" s="11" t="inlineStr">
        <is>
          <t>08-02</t>
        </is>
      </c>
      <c r="C166" s="11" t="inlineStr">
        <is>
          <t>08-Evaluation-LLMOps</t>
        </is>
      </c>
      <c r="D166" s="11" t="n">
        <v>5</v>
      </c>
      <c r="E166" s="11" t="inlineStr">
        <is>
          <t>OpenLLMetry</t>
        </is>
      </c>
      <c r="F166" s="12" t="inlineStr">
        <is>
          <t>https://github.com/traceloop/openllmetry</t>
        </is>
      </c>
      <c r="G166" s="12">
        <f>IF(F166="","",HYPERLINK(F166,"Open link"))</f>
        <v/>
      </c>
      <c r="H166" s="12">
        <f>IF(M166="","",IF(Config!$B$6="GitHub",HYPERLINK(Config!$B$5&amp;M166,"Open parent doc"),HYPERLINK("file://"&amp;Config!$B$4&amp;M166,"Open parent doc")))</f>
        <v/>
      </c>
      <c r="I166" s="11" t="inlineStr">
        <is>
          <t>Intermediate</t>
        </is>
      </c>
      <c r="J166" s="11" t="inlineStr">
        <is>
          <t>30 min</t>
        </is>
      </c>
      <c r="K166" s="11" t="inlineStr">
        <is>
          <t>Auto-instrumentation</t>
        </is>
      </c>
      <c r="L166" s="11" t="inlineStr">
        <is>
          <t>Integrations</t>
        </is>
      </c>
      <c r="M166" s="11" t="inlineStr">
        <is>
          <t>Modules/08-Evaluation-LLMOps/08-02-Observability-LangSmith-OTel.md</t>
        </is>
      </c>
      <c r="N166" s="11" t="inlineStr">
        <is>
          <t>No</t>
        </is>
      </c>
      <c r="O166" s="11" t="inlineStr"/>
    </row>
    <row r="167">
      <c r="A167" s="11" t="inlineStr">
        <is>
          <t>Module</t>
        </is>
      </c>
      <c r="B167" s="11" t="inlineStr">
        <is>
          <t>08-03</t>
        </is>
      </c>
      <c r="C167" s="11" t="inlineStr">
        <is>
          <t>08-Evaluation-LLMOps</t>
        </is>
      </c>
      <c r="D167" s="11" t="n">
        <v>1</v>
      </c>
      <c r="E167" s="11" t="inlineStr">
        <is>
          <t>promptfoo Intro</t>
        </is>
      </c>
      <c r="F167" s="12" t="inlineStr">
        <is>
          <t>https://www.promptfoo.dev/docs/intro/</t>
        </is>
      </c>
      <c r="G167" s="12">
        <f>IF(F167="","",HYPERLINK(F167,"Open link"))</f>
        <v/>
      </c>
      <c r="H167" s="12">
        <f>IF(M167="","",IF(Config!$B$6="GitHub",HYPERLINK(Config!$B$5&amp;M167,"Open parent doc"),HYPERLINK("file://"&amp;Config!$B$4&amp;M167,"Open parent doc")))</f>
        <v/>
      </c>
      <c r="I167" s="11" t="inlineStr">
        <is>
          <t>Intro</t>
        </is>
      </c>
      <c r="J167" s="11" t="inlineStr">
        <is>
          <t>25 min</t>
        </is>
      </c>
      <c r="K167" s="11" t="inlineStr">
        <is>
          <t>CI testing</t>
        </is>
      </c>
      <c r="L167" s="11" t="inlineStr">
        <is>
          <t>Config; assertions</t>
        </is>
      </c>
      <c r="M167" s="11" t="inlineStr">
        <is>
          <t>Modules/08-Evaluation-LLMOps/08-03-Guardrails-Ship-Criteria.md</t>
        </is>
      </c>
      <c r="N167" s="11" t="inlineStr">
        <is>
          <t>No</t>
        </is>
      </c>
      <c r="O167" s="11" t="inlineStr"/>
    </row>
    <row r="168">
      <c r="A168" s="11" t="inlineStr">
        <is>
          <t>Module</t>
        </is>
      </c>
      <c r="B168" s="11" t="inlineStr">
        <is>
          <t>08-03</t>
        </is>
      </c>
      <c r="C168" s="11" t="inlineStr">
        <is>
          <t>08-Evaluation-LLMOps</t>
        </is>
      </c>
      <c r="D168" s="11" t="n">
        <v>2</v>
      </c>
      <c r="E168" s="11" t="inlineStr">
        <is>
          <t>promptfoo Red Team</t>
        </is>
      </c>
      <c r="F168" s="12" t="inlineStr">
        <is>
          <t>https://www.promptfoo.dev/docs/red-team/</t>
        </is>
      </c>
      <c r="G168" s="12">
        <f>IF(F168="","",HYPERLINK(F168,"Open link"))</f>
        <v/>
      </c>
      <c r="H168" s="12">
        <f>IF(M168="","",IF(Config!$B$6="GitHub",HYPERLINK(Config!$B$5&amp;M168,"Open parent doc"),HYPERLINK("file://"&amp;Config!$B$4&amp;M168,"Open parent doc")))</f>
        <v/>
      </c>
      <c r="I168" s="11" t="inlineStr">
        <is>
          <t>Intermediate</t>
        </is>
      </c>
      <c r="J168" s="11" t="inlineStr">
        <is>
          <t>40 min</t>
        </is>
      </c>
      <c r="K168" s="11" t="inlineStr">
        <is>
          <t>Safety gates</t>
        </is>
      </c>
      <c r="L168" s="11" t="inlineStr">
        <is>
          <t>Attack catalogs</t>
        </is>
      </c>
      <c r="M168" s="11" t="inlineStr">
        <is>
          <t>Modules/08-Evaluation-LLMOps/08-03-Guardrails-Ship-Criteria.md</t>
        </is>
      </c>
      <c r="N168" s="11" t="inlineStr">
        <is>
          <t>No</t>
        </is>
      </c>
      <c r="O168" s="11" t="inlineStr"/>
    </row>
    <row r="169">
      <c r="A169" s="11" t="inlineStr">
        <is>
          <t>Module</t>
        </is>
      </c>
      <c r="B169" s="11" t="inlineStr">
        <is>
          <t>08-03</t>
        </is>
      </c>
      <c r="C169" s="11" t="inlineStr">
        <is>
          <t>08-Evaluation-LLMOps</t>
        </is>
      </c>
      <c r="D169" s="11" t="n">
        <v>3</v>
      </c>
      <c r="E169" s="11" t="inlineStr">
        <is>
          <t>OWASP LLM Top 10</t>
        </is>
      </c>
      <c r="F169" s="12" t="inlineStr">
        <is>
          <t>https://owasp.org/www-project-top-10-for-large-language-model-applications/</t>
        </is>
      </c>
      <c r="G169" s="12">
        <f>IF(F169="","",HYPERLINK(F169,"Open link"))</f>
        <v/>
      </c>
      <c r="H169" s="12">
        <f>IF(M169="","",IF(Config!$B$6="GitHub",HYPERLINK(Config!$B$5&amp;M169,"Open parent doc"),HYPERLINK("file://"&amp;Config!$B$4&amp;M169,"Open parent doc")))</f>
        <v/>
      </c>
      <c r="I169" s="11" t="inlineStr">
        <is>
          <t>Intermediate</t>
        </is>
      </c>
      <c r="J169" s="11" t="inlineStr">
        <is>
          <t>60 min</t>
        </is>
      </c>
      <c r="K169" s="11" t="inlineStr">
        <is>
          <t>Threat model</t>
        </is>
      </c>
      <c r="L169" s="11" t="inlineStr">
        <is>
          <t>LLM01; LLM02</t>
        </is>
      </c>
      <c r="M169" s="11" t="inlineStr">
        <is>
          <t>Modules/08-Evaluation-LLMOps/08-03-Guardrails-Ship-Criteria.md</t>
        </is>
      </c>
      <c r="N169" s="11" t="inlineStr">
        <is>
          <t>No</t>
        </is>
      </c>
      <c r="O169" s="11" t="inlineStr"/>
    </row>
    <row r="170">
      <c r="A170" s="11" t="inlineStr">
        <is>
          <t>Module</t>
        </is>
      </c>
      <c r="B170" s="11" t="inlineStr">
        <is>
          <t>08-03</t>
        </is>
      </c>
      <c r="C170" s="11" t="inlineStr">
        <is>
          <t>08-Evaluation-LLMOps</t>
        </is>
      </c>
      <c r="D170" s="11" t="n">
        <v>4</v>
      </c>
      <c r="E170" s="11" t="inlineStr">
        <is>
          <t>Microsoft Presidio</t>
        </is>
      </c>
      <c r="F170" s="12" t="inlineStr">
        <is>
          <t>https://microsoft.github.io/presidio/</t>
        </is>
      </c>
      <c r="G170" s="12">
        <f>IF(F170="","",HYPERLINK(F170,"Open link"))</f>
        <v/>
      </c>
      <c r="H170" s="12">
        <f>IF(M170="","",IF(Config!$B$6="GitHub",HYPERLINK(Config!$B$5&amp;M170,"Open parent doc"),HYPERLINK("file://"&amp;Config!$B$4&amp;M170,"Open parent doc")))</f>
        <v/>
      </c>
      <c r="I170" s="11" t="inlineStr">
        <is>
          <t>Intermediate</t>
        </is>
      </c>
      <c r="J170" s="11" t="inlineStr">
        <is>
          <t>35 min</t>
        </is>
      </c>
      <c r="K170" s="11" t="inlineStr">
        <is>
          <t>PII detection</t>
        </is>
      </c>
      <c r="L170" s="11" t="inlineStr">
        <is>
          <t>Anonymizer</t>
        </is>
      </c>
      <c r="M170" s="11" t="inlineStr">
        <is>
          <t>Modules/08-Evaluation-LLMOps/08-03-Guardrails-Ship-Criteria.md</t>
        </is>
      </c>
      <c r="N170" s="11" t="inlineStr">
        <is>
          <t>No</t>
        </is>
      </c>
      <c r="O170" s="11" t="inlineStr"/>
    </row>
    <row r="171">
      <c r="A171" s="11" t="inlineStr">
        <is>
          <t>Module</t>
        </is>
      </c>
      <c r="B171" s="11" t="inlineStr">
        <is>
          <t>08-03</t>
        </is>
      </c>
      <c r="C171" s="11" t="inlineStr">
        <is>
          <t>08-Evaluation-LLMOps</t>
        </is>
      </c>
      <c r="D171" s="11" t="n">
        <v>5</v>
      </c>
      <c r="E171" s="11" t="inlineStr">
        <is>
          <t>OpenAI Moderation</t>
        </is>
      </c>
      <c r="F171" s="12" t="inlineStr">
        <is>
          <t>https://platform.openai.com/docs/guides/moderation</t>
        </is>
      </c>
      <c r="G171" s="12">
        <f>IF(F171="","",HYPERLINK(F171,"Open link"))</f>
        <v/>
      </c>
      <c r="H171" s="12">
        <f>IF(M171="","",IF(Config!$B$6="GitHub",HYPERLINK(Config!$B$5&amp;M171,"Open parent doc"),HYPERLINK("file://"&amp;Config!$B$4&amp;M171,"Open parent doc")))</f>
        <v/>
      </c>
      <c r="I171" s="11" t="inlineStr">
        <is>
          <t>Intro</t>
        </is>
      </c>
      <c r="J171" s="11" t="inlineStr">
        <is>
          <t>20 min</t>
        </is>
      </c>
      <c r="K171" s="11" t="inlineStr">
        <is>
          <t>Output safety</t>
        </is>
      </c>
      <c r="L171" s="11" t="inlineStr">
        <is>
          <t>Categories</t>
        </is>
      </c>
      <c r="M171" s="11" t="inlineStr">
        <is>
          <t>Modules/08-Evaluation-LLMOps/08-03-Guardrails-Ship-Criteria.md</t>
        </is>
      </c>
      <c r="N171" s="11" t="inlineStr">
        <is>
          <t>No</t>
        </is>
      </c>
      <c r="O171" s="11" t="inlineStr"/>
    </row>
    <row r="172">
      <c r="A172" s="11" t="inlineStr">
        <is>
          <t>Module</t>
        </is>
      </c>
      <c r="B172" s="11" t="inlineStr">
        <is>
          <t>08-03</t>
        </is>
      </c>
      <c r="C172" s="11" t="inlineStr">
        <is>
          <t>08-Evaluation-LLMOps</t>
        </is>
      </c>
      <c r="D172" s="11" t="n">
        <v>6</v>
      </c>
      <c r="E172" s="11" t="inlineStr">
        <is>
          <t>NIST AI RMF</t>
        </is>
      </c>
      <c r="F172" s="12" t="inlineStr">
        <is>
          <t>https://www.nist.gov/itl/ai-risk-management-framework</t>
        </is>
      </c>
      <c r="G172" s="12">
        <f>IF(F172="","",HYPERLINK(F172,"Open link"))</f>
        <v/>
      </c>
      <c r="H172" s="12">
        <f>IF(M172="","",IF(Config!$B$6="GitHub",HYPERLINK(Config!$B$5&amp;M172,"Open parent doc"),HYPERLINK("file://"&amp;Config!$B$4&amp;M172,"Open parent doc")))</f>
        <v/>
      </c>
      <c r="I172" s="11" t="inlineStr">
        <is>
          <t>Advanced</t>
        </is>
      </c>
      <c r="J172" s="11" t="inlineStr">
        <is>
          <t>90 min</t>
        </is>
      </c>
      <c r="K172" s="11" t="inlineStr">
        <is>
          <t>Governance framing</t>
        </is>
      </c>
      <c r="L172" s="11" t="inlineStr">
        <is>
          <t>Map; measure</t>
        </is>
      </c>
      <c r="M172" s="11" t="inlineStr">
        <is>
          <t>Modules/08-Evaluation-LLMOps/08-03-Guardrails-Ship-Criteria.md</t>
        </is>
      </c>
      <c r="N172" s="11" t="inlineStr">
        <is>
          <t>No</t>
        </is>
      </c>
      <c r="O172" s="11" t="inlineStr"/>
    </row>
    <row r="173">
      <c r="A173" s="11" t="inlineStr">
        <is>
          <t>Module</t>
        </is>
      </c>
      <c r="B173" s="11" t="inlineStr">
        <is>
          <t>09-01</t>
        </is>
      </c>
      <c r="C173" s="11" t="inlineStr">
        <is>
          <t>09-Fine-Tuning</t>
        </is>
      </c>
      <c r="D173" s="11" t="n">
        <v>1</v>
      </c>
      <c r="E173" s="11" t="inlineStr">
        <is>
          <t>Hugging Face PEFT</t>
        </is>
      </c>
      <c r="F173" s="12" t="inlineStr">
        <is>
          <t>https://huggingface.co/docs/peft/index</t>
        </is>
      </c>
      <c r="G173" s="12">
        <f>IF(F173="","",HYPERLINK(F173,"Open link"))</f>
        <v/>
      </c>
      <c r="H173" s="12">
        <f>IF(M173="","",IF(Config!$B$6="GitHub",HYPERLINK(Config!$B$5&amp;M173,"Open parent doc"),HYPERLINK("file://"&amp;Config!$B$4&amp;M173,"Open parent doc")))</f>
        <v/>
      </c>
      <c r="I173" s="11" t="inlineStr">
        <is>
          <t>Intermediate</t>
        </is>
      </c>
      <c r="J173" s="11" t="inlineStr">
        <is>
          <t>45 min</t>
        </is>
      </c>
      <c r="K173" s="11" t="inlineStr">
        <is>
          <t>Official API for LoRA/adapters</t>
        </is>
      </c>
      <c r="L173" s="11" t="inlineStr">
        <is>
          <t>Quickstart; LoRA config</t>
        </is>
      </c>
      <c r="M173" s="11" t="inlineStr">
        <is>
          <t>Modules/09-Fine-Tuning/09-01-PEFT-LoRA-QLoRA.md</t>
        </is>
      </c>
      <c r="N173" s="11" t="inlineStr">
        <is>
          <t>No</t>
        </is>
      </c>
      <c r="O173" s="11" t="inlineStr"/>
    </row>
    <row r="174">
      <c r="A174" s="11" t="inlineStr">
        <is>
          <t>Module</t>
        </is>
      </c>
      <c r="B174" s="11" t="inlineStr">
        <is>
          <t>09-01</t>
        </is>
      </c>
      <c r="C174" s="11" t="inlineStr">
        <is>
          <t>09-Fine-Tuning</t>
        </is>
      </c>
      <c r="D174" s="11" t="n">
        <v>2</v>
      </c>
      <c r="E174" s="11" t="inlineStr">
        <is>
          <t>LoRA paper</t>
        </is>
      </c>
      <c r="F174" s="12" t="inlineStr">
        <is>
          <t>https://arxiv.org/abs/2106.09685</t>
        </is>
      </c>
      <c r="G174" s="12">
        <f>IF(F174="","",HYPERLINK(F174,"Open link"))</f>
        <v/>
      </c>
      <c r="H174" s="12">
        <f>IF(M174="","",IF(Config!$B$6="GitHub",HYPERLINK(Config!$B$5&amp;M174,"Open parent doc"),HYPERLINK("file://"&amp;Config!$B$4&amp;M174,"Open parent doc")))</f>
        <v/>
      </c>
      <c r="I174" s="11" t="inlineStr">
        <is>
          <t>Advanced</t>
        </is>
      </c>
      <c r="J174" s="11" t="inlineStr">
        <is>
          <t>45 min</t>
        </is>
      </c>
      <c r="K174" s="11" t="inlineStr">
        <is>
          <t>Primary low-rank intuition</t>
        </is>
      </c>
      <c r="L174" s="11" t="inlineStr">
        <is>
          <t>§3 Method; §4 Experiments</t>
        </is>
      </c>
      <c r="M174" s="11" t="inlineStr">
        <is>
          <t>Modules/09-Fine-Tuning/09-01-PEFT-LoRA-QLoRA.md</t>
        </is>
      </c>
      <c r="N174" s="11" t="inlineStr">
        <is>
          <t>No</t>
        </is>
      </c>
      <c r="O174" s="11" t="inlineStr"/>
    </row>
    <row r="175">
      <c r="A175" s="11" t="inlineStr">
        <is>
          <t>Module</t>
        </is>
      </c>
      <c r="B175" s="11" t="inlineStr">
        <is>
          <t>09-01</t>
        </is>
      </c>
      <c r="C175" s="11" t="inlineStr">
        <is>
          <t>09-Fine-Tuning</t>
        </is>
      </c>
      <c r="D175" s="11" t="n">
        <v>3</v>
      </c>
      <c r="E175" s="11" t="inlineStr">
        <is>
          <t>QLoRA paper</t>
        </is>
      </c>
      <c r="F175" s="12" t="inlineStr">
        <is>
          <t>https://arxiv.org/abs/2305.14314</t>
        </is>
      </c>
      <c r="G175" s="12">
        <f>IF(F175="","",HYPERLINK(F175,"Open link"))</f>
        <v/>
      </c>
      <c r="H175" s="12">
        <f>IF(M175="","",IF(Config!$B$6="GitHub",HYPERLINK(Config!$B$5&amp;M175,"Open parent doc"),HYPERLINK("file://"&amp;Config!$B$4&amp;M175,"Open parent doc")))</f>
        <v/>
      </c>
      <c r="I175" s="11" t="inlineStr">
        <is>
          <t>Advanced</t>
        </is>
      </c>
      <c r="J175" s="11" t="inlineStr">
        <is>
          <t>45 min</t>
        </is>
      </c>
      <c r="K175" s="11" t="inlineStr">
        <is>
          <t>4-bit + adapter training</t>
        </is>
      </c>
      <c r="L175" s="11" t="inlineStr">
        <is>
          <t>NF4; double quant</t>
        </is>
      </c>
      <c r="M175" s="11" t="inlineStr">
        <is>
          <t>Modules/09-Fine-Tuning/09-01-PEFT-LoRA-QLoRA.md</t>
        </is>
      </c>
      <c r="N175" s="11" t="inlineStr">
        <is>
          <t>No</t>
        </is>
      </c>
      <c r="O175" s="11" t="inlineStr"/>
    </row>
    <row r="176">
      <c r="A176" s="11" t="inlineStr">
        <is>
          <t>Module</t>
        </is>
      </c>
      <c r="B176" s="11" t="inlineStr">
        <is>
          <t>09-01</t>
        </is>
      </c>
      <c r="C176" s="11" t="inlineStr">
        <is>
          <t>09-Fine-Tuning</t>
        </is>
      </c>
      <c r="D176" s="11" t="n">
        <v>4</v>
      </c>
      <c r="E176" s="11" t="inlineStr">
        <is>
          <t>TRL SFTTrainer</t>
        </is>
      </c>
      <c r="F176" s="12" t="inlineStr">
        <is>
          <t>https://huggingface.co/docs/trl/sft_trainer</t>
        </is>
      </c>
      <c r="G176" s="12">
        <f>IF(F176="","",HYPERLINK(F176,"Open link"))</f>
        <v/>
      </c>
      <c r="H176" s="12">
        <f>IF(M176="","",IF(Config!$B$6="GitHub",HYPERLINK(Config!$B$5&amp;M176,"Open parent doc"),HYPERLINK("file://"&amp;Config!$B$4&amp;M176,"Open parent doc")))</f>
        <v/>
      </c>
      <c r="I176" s="11" t="inlineStr">
        <is>
          <t>Intermediate</t>
        </is>
      </c>
      <c r="J176" s="11" t="inlineStr">
        <is>
          <t>30 min</t>
        </is>
      </c>
      <c r="K176" s="11" t="inlineStr">
        <is>
          <t>Production training loop</t>
        </is>
      </c>
      <c r="L176" s="11" t="inlineStr">
        <is>
          <t>Completion-only loss</t>
        </is>
      </c>
      <c r="M176" s="11" t="inlineStr">
        <is>
          <t>Modules/09-Fine-Tuning/09-01-PEFT-LoRA-QLoRA.md</t>
        </is>
      </c>
      <c r="N176" s="11" t="inlineStr">
        <is>
          <t>No</t>
        </is>
      </c>
      <c r="O176" s="11" t="inlineStr"/>
    </row>
    <row r="177">
      <c r="A177" s="11" t="inlineStr">
        <is>
          <t>Module</t>
        </is>
      </c>
      <c r="B177" s="11" t="inlineStr">
        <is>
          <t>09-01</t>
        </is>
      </c>
      <c r="C177" s="11" t="inlineStr">
        <is>
          <t>09-Fine-Tuning</t>
        </is>
      </c>
      <c r="D177" s="11" t="n">
        <v>5</v>
      </c>
      <c r="E177" s="11" t="inlineStr">
        <is>
          <t>bitsandbytes</t>
        </is>
      </c>
      <c r="F177" s="12" t="inlineStr">
        <is>
          <t>https://github.com/TimDettmers/bitsandbytes</t>
        </is>
      </c>
      <c r="G177" s="12">
        <f>IF(F177="","",HYPERLINK(F177,"Open link"))</f>
        <v/>
      </c>
      <c r="H177" s="12">
        <f>IF(M177="","",IF(Config!$B$6="GitHub",HYPERLINK(Config!$B$5&amp;M177,"Open parent doc"),HYPERLINK("file://"&amp;Config!$B$4&amp;M177,"Open parent doc")))</f>
        <v/>
      </c>
      <c r="I177" s="11" t="inlineStr">
        <is>
          <t>Intermediate</t>
        </is>
      </c>
      <c r="J177" s="11" t="inlineStr">
        <is>
          <t>20 min</t>
        </is>
      </c>
      <c r="K177" s="11" t="inlineStr">
        <is>
          <t>4-bit load details</t>
        </is>
      </c>
      <c r="L177" s="11" t="inlineStr">
        <is>
          <t>NF4 usage</t>
        </is>
      </c>
      <c r="M177" s="11" t="inlineStr">
        <is>
          <t>Modules/09-Fine-Tuning/09-01-PEFT-LoRA-QLoRA.md</t>
        </is>
      </c>
      <c r="N177" s="11" t="inlineStr">
        <is>
          <t>No</t>
        </is>
      </c>
      <c r="O177" s="11" t="inlineStr"/>
    </row>
    <row r="178">
      <c r="A178" s="11" t="inlineStr">
        <is>
          <t>Module</t>
        </is>
      </c>
      <c r="B178" s="11" t="inlineStr">
        <is>
          <t>09-01</t>
        </is>
      </c>
      <c r="C178" s="11" t="inlineStr">
        <is>
          <t>09-Fine-Tuning</t>
        </is>
      </c>
      <c r="D178" s="11" t="n">
        <v>6</v>
      </c>
      <c r="E178" s="11" t="inlineStr">
        <is>
          <t>vLLM docs</t>
        </is>
      </c>
      <c r="F178" s="12" t="inlineStr">
        <is>
          <t>https://docs.vllm.ai/en/latest/</t>
        </is>
      </c>
      <c r="G178" s="12">
        <f>IF(F178="","",HYPERLINK(F178,"Open link"))</f>
        <v/>
      </c>
      <c r="H178" s="12">
        <f>IF(M178="","",IF(Config!$B$6="GitHub",HYPERLINK(Config!$B$5&amp;M178,"Open parent doc"),HYPERLINK("file://"&amp;Config!$B$4&amp;M178,"Open parent doc")))</f>
        <v/>
      </c>
      <c r="I178" s="11" t="inlineStr">
        <is>
          <t>Intermediate</t>
        </is>
      </c>
      <c r="J178" s="11" t="inlineStr">
        <is>
          <t>30 min</t>
        </is>
      </c>
      <c r="K178" s="11" t="inlineStr">
        <is>
          <t>Inference after merge</t>
        </is>
      </c>
      <c r="L178" s="11" t="inlineStr">
        <is>
          <t>LoRA requests</t>
        </is>
      </c>
      <c r="M178" s="11" t="inlineStr">
        <is>
          <t>Modules/09-Fine-Tuning/09-01-PEFT-LoRA-QLoRA.md</t>
        </is>
      </c>
      <c r="N178" s="11" t="inlineStr">
        <is>
          <t>No</t>
        </is>
      </c>
      <c r="O178" s="11" t="inlineStr"/>
    </row>
    <row r="179">
      <c r="A179" s="11" t="inlineStr">
        <is>
          <t>Module</t>
        </is>
      </c>
      <c r="B179" s="11" t="inlineStr">
        <is>
          <t>09-02</t>
        </is>
      </c>
      <c r="C179" s="11" t="inlineStr">
        <is>
          <t>09-Fine-Tuning</t>
        </is>
      </c>
      <c r="D179" s="11" t="n">
        <v>1</v>
      </c>
      <c r="E179" s="11" t="inlineStr">
        <is>
          <t>RAG paper</t>
        </is>
      </c>
      <c r="F179" s="12" t="inlineStr">
        <is>
          <t>https://arxiv.org/abs/2005.11401</t>
        </is>
      </c>
      <c r="G179" s="12">
        <f>IF(F179="","",HYPERLINK(F179,"Open link"))</f>
        <v/>
      </c>
      <c r="H179" s="12">
        <f>IF(M179="","",IF(Config!$B$6="GitHub",HYPERLINK(Config!$B$5&amp;M179,"Open parent doc"),HYPERLINK("file://"&amp;Config!$B$4&amp;M179,"Open parent doc")))</f>
        <v/>
      </c>
      <c r="I179" s="11" t="inlineStr">
        <is>
          <t>Intermediate</t>
        </is>
      </c>
      <c r="J179" s="11" t="inlineStr">
        <is>
          <t>45 min</t>
        </is>
      </c>
      <c r="K179" s="11" t="inlineStr">
        <is>
          <t>When retrieval beats parametric memory</t>
        </is>
      </c>
      <c r="L179" s="11" t="inlineStr">
        <is>
          <t>Intro; architecture</t>
        </is>
      </c>
      <c r="M179" s="11" t="inlineStr">
        <is>
          <t>Modules/09-Fine-Tuning/09-02-Prompting-vs-RAG-vs-FineTuning.md</t>
        </is>
      </c>
      <c r="N179" s="11" t="inlineStr">
        <is>
          <t>No</t>
        </is>
      </c>
      <c r="O179" s="11" t="inlineStr"/>
    </row>
    <row r="180">
      <c r="A180" s="11" t="inlineStr">
        <is>
          <t>Module</t>
        </is>
      </c>
      <c r="B180" s="11" t="inlineStr">
        <is>
          <t>09-02</t>
        </is>
      </c>
      <c r="C180" s="11" t="inlineStr">
        <is>
          <t>09-Fine-Tuning</t>
        </is>
      </c>
      <c r="D180" s="11" t="n">
        <v>2</v>
      </c>
      <c r="E180" s="11" t="inlineStr">
        <is>
          <t>LoRA paper</t>
        </is>
      </c>
      <c r="F180" s="12" t="inlineStr">
        <is>
          <t>https://arxiv.org/abs/2106.09685</t>
        </is>
      </c>
      <c r="G180" s="12">
        <f>IF(F180="","",HYPERLINK(F180,"Open link"))</f>
        <v/>
      </c>
      <c r="H180" s="12">
        <f>IF(M180="","",IF(Config!$B$6="GitHub",HYPERLINK(Config!$B$5&amp;M180,"Open parent doc"),HYPERLINK("file://"&amp;Config!$B$4&amp;M180,"Open parent doc")))</f>
        <v/>
      </c>
      <c r="I180" s="11" t="inlineStr">
        <is>
          <t>Advanced</t>
        </is>
      </c>
      <c r="J180" s="11" t="inlineStr">
        <is>
          <t>30 min</t>
        </is>
      </c>
      <c r="K180" s="11" t="inlineStr">
        <is>
          <t>When FT is appropriate</t>
        </is>
      </c>
      <c r="L180" s="11" t="inlineStr">
        <is>
          <t>Task results</t>
        </is>
      </c>
      <c r="M180" s="11" t="inlineStr">
        <is>
          <t>Modules/09-Fine-Tuning/09-02-Prompting-vs-RAG-vs-FineTuning.md</t>
        </is>
      </c>
      <c r="N180" s="11" t="inlineStr">
        <is>
          <t>No</t>
        </is>
      </c>
      <c r="O180" s="11" t="inlineStr"/>
    </row>
    <row r="181">
      <c r="A181" s="11" t="inlineStr">
        <is>
          <t>Module</t>
        </is>
      </c>
      <c r="B181" s="11" t="inlineStr">
        <is>
          <t>09-02</t>
        </is>
      </c>
      <c r="C181" s="11" t="inlineStr">
        <is>
          <t>09-Fine-Tuning</t>
        </is>
      </c>
      <c r="D181" s="11" t="n">
        <v>3</v>
      </c>
      <c r="E181" s="11" t="inlineStr">
        <is>
          <t>HF PEFT</t>
        </is>
      </c>
      <c r="F181" s="12" t="inlineStr">
        <is>
          <t>https://huggingface.co/docs/peft/index</t>
        </is>
      </c>
      <c r="G181" s="12">
        <f>IF(F181="","",HYPERLINK(F181,"Open link"))</f>
        <v/>
      </c>
      <c r="H181" s="12">
        <f>IF(M181="","",IF(Config!$B$6="GitHub",HYPERLINK(Config!$B$5&amp;M181,"Open parent doc"),HYPERLINK("file://"&amp;Config!$B$4&amp;M181,"Open parent doc")))</f>
        <v/>
      </c>
      <c r="I181" s="11" t="inlineStr">
        <is>
          <t>Intermediate</t>
        </is>
      </c>
      <c r="J181" s="11" t="inlineStr">
        <is>
          <t>20 min</t>
        </is>
      </c>
      <c r="K181" s="11" t="inlineStr">
        <is>
          <t>LoRA scope</t>
        </is>
      </c>
      <c r="L181" s="11" t="inlineStr">
        <is>
          <t>When to use PEFT</t>
        </is>
      </c>
      <c r="M181" s="11" t="inlineStr">
        <is>
          <t>Modules/09-Fine-Tuning/09-02-Prompting-vs-RAG-vs-FineTuning.md</t>
        </is>
      </c>
      <c r="N181" s="11" t="inlineStr">
        <is>
          <t>No</t>
        </is>
      </c>
      <c r="O181" s="11" t="inlineStr"/>
    </row>
    <row r="182">
      <c r="A182" s="11" t="inlineStr">
        <is>
          <t>Module</t>
        </is>
      </c>
      <c r="B182" s="11" t="inlineStr">
        <is>
          <t>09-02</t>
        </is>
      </c>
      <c r="C182" s="11" t="inlineStr">
        <is>
          <t>09-Fine-Tuning</t>
        </is>
      </c>
      <c r="D182" s="11" t="n">
        <v>4</v>
      </c>
      <c r="E182" s="11" t="inlineStr">
        <is>
          <t>LangChain RAG concept</t>
        </is>
      </c>
      <c r="F182" s="12" t="inlineStr">
        <is>
          <t>https://python.langchain.com/docs/concepts/rag/</t>
        </is>
      </c>
      <c r="G182" s="12">
        <f>IF(F182="","",HYPERLINK(F182,"Open link"))</f>
        <v/>
      </c>
      <c r="H182" s="12">
        <f>IF(M182="","",IF(Config!$B$6="GitHub",HYPERLINK(Config!$B$5&amp;M182,"Open parent doc"),HYPERLINK("file://"&amp;Config!$B$4&amp;M182,"Open parent doc")))</f>
        <v/>
      </c>
      <c r="I182" s="11" t="inlineStr">
        <is>
          <t>Intro</t>
        </is>
      </c>
      <c r="J182" s="11" t="inlineStr">
        <is>
          <t>20 min</t>
        </is>
      </c>
      <c r="K182" s="11" t="inlineStr">
        <is>
          <t>RAG pipeline mental model</t>
        </is>
      </c>
      <c r="L182" s="11" t="inlineStr">
        <is>
          <t>Indexing</t>
        </is>
      </c>
      <c r="M182" s="11" t="inlineStr">
        <is>
          <t>Modules/09-Fine-Tuning/09-02-Prompting-vs-RAG-vs-FineTuning.md</t>
        </is>
      </c>
      <c r="N182" s="11" t="inlineStr">
        <is>
          <t>No</t>
        </is>
      </c>
      <c r="O182" s="11" t="inlineStr"/>
    </row>
    <row r="183">
      <c r="A183" s="11" t="inlineStr">
        <is>
          <t>Module</t>
        </is>
      </c>
      <c r="B183" s="11" t="inlineStr">
        <is>
          <t>09-02</t>
        </is>
      </c>
      <c r="C183" s="11" t="inlineStr">
        <is>
          <t>09-Fine-Tuning</t>
        </is>
      </c>
      <c r="D183" s="11" t="n">
        <v>5</v>
      </c>
      <c r="E183" s="11" t="inlineStr">
        <is>
          <t>DSPy</t>
        </is>
      </c>
      <c r="F183" s="12" t="inlineStr">
        <is>
          <t>https://dspy.ai/</t>
        </is>
      </c>
      <c r="G183" s="12">
        <f>IF(F183="","",HYPERLINK(F183,"Open link"))</f>
        <v/>
      </c>
      <c r="H183" s="12">
        <f>IF(M183="","",IF(Config!$B$6="GitHub",HYPERLINK(Config!$B$5&amp;M183,"Open parent doc"),HYPERLINK("file://"&amp;Config!$B$4&amp;M183,"Open parent doc")))</f>
        <v/>
      </c>
      <c r="I183" s="11" t="inlineStr">
        <is>
          <t>Intermediate</t>
        </is>
      </c>
      <c r="J183" s="11" t="inlineStr">
        <is>
          <t>30 min</t>
        </is>
      </c>
      <c r="K183" s="11" t="inlineStr">
        <is>
          <t>Prompt optimization alternative</t>
        </is>
      </c>
      <c r="L183" s="11" t="inlineStr">
        <is>
          <t>Programs vs prompts</t>
        </is>
      </c>
      <c r="M183" s="11" t="inlineStr">
        <is>
          <t>Modules/09-Fine-Tuning/09-02-Prompting-vs-RAG-vs-FineTuning.md</t>
        </is>
      </c>
      <c r="N183" s="11" t="inlineStr">
        <is>
          <t>No</t>
        </is>
      </c>
      <c r="O183" s="11" t="inlineStr"/>
    </row>
    <row r="184">
      <c r="A184" s="11" t="inlineStr">
        <is>
          <t>Module</t>
        </is>
      </c>
      <c r="B184" s="11" t="inlineStr">
        <is>
          <t>09-03</t>
        </is>
      </c>
      <c r="C184" s="11" t="inlineStr">
        <is>
          <t>09-Fine-Tuning</t>
        </is>
      </c>
      <c r="D184" s="11" t="n">
        <v>1</v>
      </c>
      <c r="E184" s="11" t="inlineStr">
        <is>
          <t>vLLM Documentation</t>
        </is>
      </c>
      <c r="F184" s="12" t="inlineStr">
        <is>
          <t>https://docs.vllm.ai/en/latest/</t>
        </is>
      </c>
      <c r="G184" s="12">
        <f>IF(F184="","",HYPERLINK(F184,"Open link"))</f>
        <v/>
      </c>
      <c r="H184" s="12">
        <f>IF(M184="","",IF(Config!$B$6="GitHub",HYPERLINK(Config!$B$5&amp;M184,"Open parent doc"),HYPERLINK("file://"&amp;Config!$B$4&amp;M184,"Open parent doc")))</f>
        <v/>
      </c>
      <c r="I184" s="11" t="inlineStr">
        <is>
          <t>Intermediate</t>
        </is>
      </c>
      <c r="J184" s="11" t="inlineStr">
        <is>
          <t>45 min</t>
        </is>
      </c>
      <c r="K184" s="11" t="inlineStr">
        <is>
          <t>LoRA + OpenAI server</t>
        </is>
      </c>
      <c r="L184" s="11" t="inlineStr">
        <is>
          <t>LoRA serving</t>
        </is>
      </c>
      <c r="M184" s="11" t="inlineStr">
        <is>
          <t>Modules/09-Fine-Tuning/09-03-Serving-Integrating-FineTuned-Models.md</t>
        </is>
      </c>
      <c r="N184" s="11" t="inlineStr">
        <is>
          <t>No</t>
        </is>
      </c>
      <c r="O184" s="11" t="inlineStr"/>
    </row>
    <row r="185">
      <c r="A185" s="11" t="inlineStr">
        <is>
          <t>Module</t>
        </is>
      </c>
      <c r="B185" s="11" t="inlineStr">
        <is>
          <t>09-03</t>
        </is>
      </c>
      <c r="C185" s="11" t="inlineStr">
        <is>
          <t>09-Fine-Tuning</t>
        </is>
      </c>
      <c r="D185" s="11" t="n">
        <v>2</v>
      </c>
      <c r="E185" s="11" t="inlineStr">
        <is>
          <t>HF PEFT</t>
        </is>
      </c>
      <c r="F185" s="12" t="inlineStr">
        <is>
          <t>https://huggingface.co/docs/peft/index</t>
        </is>
      </c>
      <c r="G185" s="12">
        <f>IF(F185="","",HYPERLINK(F185,"Open link"))</f>
        <v/>
      </c>
      <c r="H185" s="12">
        <f>IF(M185="","",IF(Config!$B$6="GitHub",HYPERLINK(Config!$B$5&amp;M185,"Open parent doc"),HYPERLINK("file://"&amp;Config!$B$4&amp;M185,"Open parent doc")))</f>
        <v/>
      </c>
      <c r="I185" s="11" t="inlineStr">
        <is>
          <t>Intermediate</t>
        </is>
      </c>
      <c r="J185" s="11" t="inlineStr">
        <is>
          <t>20 min</t>
        </is>
      </c>
      <c r="K185" s="11" t="inlineStr">
        <is>
          <t>Load adapters</t>
        </is>
      </c>
      <c r="L185" s="11" t="inlineStr">
        <is>
          <t>Inference</t>
        </is>
      </c>
      <c r="M185" s="11" t="inlineStr">
        <is>
          <t>Modules/09-Fine-Tuning/09-03-Serving-Integrating-FineTuned-Models.md</t>
        </is>
      </c>
      <c r="N185" s="11" t="inlineStr">
        <is>
          <t>No</t>
        </is>
      </c>
      <c r="O185" s="11" t="inlineStr"/>
    </row>
    <row r="186">
      <c r="A186" s="11" t="inlineStr">
        <is>
          <t>Module</t>
        </is>
      </c>
      <c r="B186" s="11" t="inlineStr">
        <is>
          <t>09-03</t>
        </is>
      </c>
      <c r="C186" s="11" t="inlineStr">
        <is>
          <t>09-Fine-Tuning</t>
        </is>
      </c>
      <c r="D186" s="11" t="n">
        <v>3</v>
      </c>
      <c r="E186" s="11" t="inlineStr">
        <is>
          <t>vLLM GitHub</t>
        </is>
      </c>
      <c r="F186" s="12" t="inlineStr">
        <is>
          <t>https://github.com/vllm-project/vllm</t>
        </is>
      </c>
      <c r="G186" s="12">
        <f>IF(F186="","",HYPERLINK(F186,"Open link"))</f>
        <v/>
      </c>
      <c r="H186" s="12">
        <f>IF(M186="","",IF(Config!$B$6="GitHub",HYPERLINK(Config!$B$5&amp;M186,"Open parent doc"),HYPERLINK("file://"&amp;Config!$B$4&amp;M186,"Open parent doc")))</f>
        <v/>
      </c>
      <c r="I186" s="11" t="inlineStr">
        <is>
          <t>Intermediate</t>
        </is>
      </c>
      <c r="J186" s="11" t="inlineStr">
        <is>
          <t>20 min</t>
        </is>
      </c>
      <c r="K186" s="11" t="inlineStr">
        <is>
          <t>Flags &amp; examples</t>
        </is>
      </c>
      <c r="L186" s="11" t="inlineStr">
        <is>
          <t>LoRA examples</t>
        </is>
      </c>
      <c r="M186" s="11" t="inlineStr">
        <is>
          <t>Modules/09-Fine-Tuning/09-03-Serving-Integrating-FineTuned-Models.md</t>
        </is>
      </c>
      <c r="N186" s="11" t="inlineStr">
        <is>
          <t>No</t>
        </is>
      </c>
      <c r="O186" s="11" t="inlineStr"/>
    </row>
    <row r="187">
      <c r="A187" s="11" t="inlineStr">
        <is>
          <t>Module</t>
        </is>
      </c>
      <c r="B187" s="11" t="inlineStr">
        <is>
          <t>09-03</t>
        </is>
      </c>
      <c r="C187" s="11" t="inlineStr">
        <is>
          <t>09-Fine-Tuning</t>
        </is>
      </c>
      <c r="D187" s="11" t="n">
        <v>4</v>
      </c>
      <c r="E187" s="11" t="inlineStr">
        <is>
          <t>FastAPI</t>
        </is>
      </c>
      <c r="F187" s="12" t="inlineStr">
        <is>
          <t>https://fastapi.tiangolo.com/</t>
        </is>
      </c>
      <c r="G187" s="12">
        <f>IF(F187="","",HYPERLINK(F187,"Open link"))</f>
        <v/>
      </c>
      <c r="H187" s="12">
        <f>IF(M187="","",IF(Config!$B$6="GitHub",HYPERLINK(Config!$B$5&amp;M187,"Open parent doc"),HYPERLINK("file://"&amp;Config!$B$4&amp;M187,"Open parent doc")))</f>
        <v/>
      </c>
      <c r="I187" s="11" t="inlineStr">
        <is>
          <t>Intro</t>
        </is>
      </c>
      <c r="J187" s="11" t="inlineStr">
        <is>
          <t>30 min</t>
        </is>
      </c>
      <c r="K187" s="11" t="inlineStr">
        <is>
          <t>Gateway patterns</t>
        </is>
      </c>
      <c r="L187" s="11" t="inlineStr">
        <is>
          <t>Dependencies</t>
        </is>
      </c>
      <c r="M187" s="11" t="inlineStr">
        <is>
          <t>Modules/09-Fine-Tuning/09-03-Serving-Integrating-FineTuned-Models.md</t>
        </is>
      </c>
      <c r="N187" s="11" t="inlineStr">
        <is>
          <t>No</t>
        </is>
      </c>
      <c r="O187" s="11" t="inlineStr"/>
    </row>
    <row r="188">
      <c r="A188" s="11" t="inlineStr">
        <is>
          <t>Module</t>
        </is>
      </c>
      <c r="B188" s="11" t="inlineStr">
        <is>
          <t>10-01</t>
        </is>
      </c>
      <c r="C188" s="11" t="inlineStr">
        <is>
          <t>10-Production-Infrastructure</t>
        </is>
      </c>
      <c r="D188" s="11" t="n">
        <v>1</v>
      </c>
      <c r="E188" s="11" t="inlineStr">
        <is>
          <t>FastAPI Documentation</t>
        </is>
      </c>
      <c r="F188" s="12" t="inlineStr">
        <is>
          <t>https://fastapi.tiangolo.com/</t>
        </is>
      </c>
      <c r="G188" s="12">
        <f>IF(F188="","",HYPERLINK(F188,"Open link"))</f>
        <v/>
      </c>
      <c r="H188" s="12">
        <f>IF(M188="","",IF(Config!$B$6="GitHub",HYPERLINK(Config!$B$5&amp;M188,"Open parent doc"),HYPERLINK("file://"&amp;Config!$B$4&amp;M188,"Open parent doc")))</f>
        <v/>
      </c>
      <c r="I188" s="11" t="inlineStr">
        <is>
          <t>Intro</t>
        </is>
      </c>
      <c r="J188" s="11" t="inlineStr">
        <is>
          <t>60 min</t>
        </is>
      </c>
      <c r="K188" s="11" t="inlineStr">
        <is>
          <t>Official patterns</t>
        </is>
      </c>
      <c r="L188" s="11" t="inlineStr">
        <is>
          <t>Async; Dependencies; Streaming</t>
        </is>
      </c>
      <c r="M188" s="11" t="inlineStr">
        <is>
          <t>Modules/10-Production-Infrastructure/10-01-FastAPI-AI-Backends.md</t>
        </is>
      </c>
      <c r="N188" s="11" t="inlineStr">
        <is>
          <t>No</t>
        </is>
      </c>
      <c r="O188" s="11" t="inlineStr"/>
    </row>
    <row r="189">
      <c r="A189" s="11" t="inlineStr">
        <is>
          <t>Module</t>
        </is>
      </c>
      <c r="B189" s="11" t="inlineStr">
        <is>
          <t>10-01</t>
        </is>
      </c>
      <c r="C189" s="11" t="inlineStr">
        <is>
          <t>10-Production-Infrastructure</t>
        </is>
      </c>
      <c r="D189" s="11" t="n">
        <v>2</v>
      </c>
      <c r="E189" s="11" t="inlineStr">
        <is>
          <t>Uvicorn</t>
        </is>
      </c>
      <c r="F189" s="12" t="inlineStr">
        <is>
          <t>https://www.uvicorn.org/</t>
        </is>
      </c>
      <c r="G189" s="12">
        <f>IF(F189="","",HYPERLINK(F189,"Open link"))</f>
        <v/>
      </c>
      <c r="H189" s="12">
        <f>IF(M189="","",IF(Config!$B$6="GitHub",HYPERLINK(Config!$B$5&amp;M189,"Open parent doc"),HYPERLINK("file://"&amp;Config!$B$4&amp;M189,"Open parent doc")))</f>
        <v/>
      </c>
      <c r="I189" s="11" t="inlineStr">
        <is>
          <t>Intro</t>
        </is>
      </c>
      <c r="J189" s="11" t="inlineStr">
        <is>
          <t>15 min</t>
        </is>
      </c>
      <c r="K189" s="11" t="inlineStr">
        <is>
          <t>ASGI server tuning</t>
        </is>
      </c>
      <c r="L189" s="11" t="inlineStr">
        <is>
          <t>Workers</t>
        </is>
      </c>
      <c r="M189" s="11" t="inlineStr">
        <is>
          <t>Modules/10-Production-Infrastructure/10-01-FastAPI-AI-Backends.md</t>
        </is>
      </c>
      <c r="N189" s="11" t="inlineStr">
        <is>
          <t>No</t>
        </is>
      </c>
      <c r="O189" s="11" t="inlineStr"/>
    </row>
    <row r="190">
      <c r="A190" s="11" t="inlineStr">
        <is>
          <t>Module</t>
        </is>
      </c>
      <c r="B190" s="11" t="inlineStr">
        <is>
          <t>10-01</t>
        </is>
      </c>
      <c r="C190" s="11" t="inlineStr">
        <is>
          <t>10-Production-Infrastructure</t>
        </is>
      </c>
      <c r="D190" s="11" t="n">
        <v>3</v>
      </c>
      <c r="E190" s="11" t="inlineStr">
        <is>
          <t>OpenAI Python SDK</t>
        </is>
      </c>
      <c r="F190" s="12" t="inlineStr">
        <is>
          <t>https://github.com/openai/openai-python</t>
        </is>
      </c>
      <c r="G190" s="12">
        <f>IF(F190="","",HYPERLINK(F190,"Open link"))</f>
        <v/>
      </c>
      <c r="H190" s="12">
        <f>IF(M190="","",IF(Config!$B$6="GitHub",HYPERLINK(Config!$B$5&amp;M190,"Open parent doc"),HYPERLINK("file://"&amp;Config!$B$4&amp;M190,"Open parent doc")))</f>
        <v/>
      </c>
      <c r="I190" s="11" t="inlineStr">
        <is>
          <t>Intro</t>
        </is>
      </c>
      <c r="J190" s="11" t="inlineStr">
        <is>
          <t>20 min</t>
        </is>
      </c>
      <c r="K190" s="11" t="inlineStr">
        <is>
          <t>Async client</t>
        </is>
      </c>
      <c r="L190" s="11" t="inlineStr">
        <is>
          <t>Streaming</t>
        </is>
      </c>
      <c r="M190" s="11" t="inlineStr">
        <is>
          <t>Modules/10-Production-Infrastructure/10-01-FastAPI-AI-Backends.md</t>
        </is>
      </c>
      <c r="N190" s="11" t="inlineStr">
        <is>
          <t>No</t>
        </is>
      </c>
      <c r="O190" s="11" t="inlineStr"/>
    </row>
    <row r="191">
      <c r="A191" s="11" t="inlineStr">
        <is>
          <t>Module</t>
        </is>
      </c>
      <c r="B191" s="11" t="inlineStr">
        <is>
          <t>10-02</t>
        </is>
      </c>
      <c r="C191" s="11" t="inlineStr">
        <is>
          <t>10-Production-Infrastructure</t>
        </is>
      </c>
      <c r="D191" s="11" t="n">
        <v>1</v>
      </c>
      <c r="E191" s="11" t="inlineStr">
        <is>
          <t>Kubernetes Documentation</t>
        </is>
      </c>
      <c r="F191" s="12" t="inlineStr">
        <is>
          <t>https://kubernetes.io/docs/home/</t>
        </is>
      </c>
      <c r="G191" s="12">
        <f>IF(F191="","",HYPERLINK(F191,"Open link"))</f>
        <v/>
      </c>
      <c r="H191" s="12">
        <f>IF(M191="","",IF(Config!$B$6="GitHub",HYPERLINK(Config!$B$5&amp;M191,"Open parent doc"),HYPERLINK("file://"&amp;Config!$B$4&amp;M191,"Open parent doc")))</f>
        <v/>
      </c>
      <c r="I191" s="11" t="inlineStr">
        <is>
          <t>Intermediate</t>
        </is>
      </c>
      <c r="J191" s="11" t="inlineStr">
        <is>
          <t>90 min</t>
        </is>
      </c>
      <c r="K191" s="11" t="inlineStr">
        <is>
          <t>Official deploy concepts</t>
        </is>
      </c>
      <c r="L191" s="11" t="inlineStr">
        <is>
          <t>Workloads; Services; Probes</t>
        </is>
      </c>
      <c r="M191" s="11" t="inlineStr">
        <is>
          <t>Modules/10-Production-Infrastructure/10-02-Docker-Kubernetes-CICD.md</t>
        </is>
      </c>
      <c r="N191" s="11" t="inlineStr">
        <is>
          <t>No</t>
        </is>
      </c>
      <c r="O191" s="11" t="inlineStr"/>
    </row>
    <row r="192">
      <c r="A192" s="11" t="inlineStr">
        <is>
          <t>Module</t>
        </is>
      </c>
      <c r="B192" s="11" t="inlineStr">
        <is>
          <t>10-02</t>
        </is>
      </c>
      <c r="C192" s="11" t="inlineStr">
        <is>
          <t>10-Production-Infrastructure</t>
        </is>
      </c>
      <c r="D192" s="11" t="n">
        <v>2</v>
      </c>
      <c r="E192" s="11" t="inlineStr">
        <is>
          <t>Docker Docs</t>
        </is>
      </c>
      <c r="F192" s="12" t="inlineStr">
        <is>
          <t>https://docs.docker.com/</t>
        </is>
      </c>
      <c r="G192" s="12">
        <f>IF(F192="","",HYPERLINK(F192,"Open link"))</f>
        <v/>
      </c>
      <c r="H192" s="12">
        <f>IF(M192="","",IF(Config!$B$6="GitHub",HYPERLINK(Config!$B$5&amp;M192,"Open parent doc"),HYPERLINK("file://"&amp;Config!$B$4&amp;M192,"Open parent doc")))</f>
        <v/>
      </c>
      <c r="I192" s="11" t="inlineStr">
        <is>
          <t>Intro</t>
        </is>
      </c>
      <c r="J192" s="11" t="inlineStr">
        <is>
          <t>45 min</t>
        </is>
      </c>
      <c r="K192" s="11" t="inlineStr">
        <is>
          <t>Image best practices</t>
        </is>
      </c>
      <c r="L192" s="11" t="inlineStr">
        <is>
          <t>Multi-stage builds</t>
        </is>
      </c>
      <c r="M192" s="11" t="inlineStr">
        <is>
          <t>Modules/10-Production-Infrastructure/10-02-Docker-Kubernetes-CICD.md</t>
        </is>
      </c>
      <c r="N192" s="11" t="inlineStr">
        <is>
          <t>No</t>
        </is>
      </c>
      <c r="O192" s="11" t="inlineStr"/>
    </row>
    <row r="193">
      <c r="A193" s="11" t="inlineStr">
        <is>
          <t>Module</t>
        </is>
      </c>
      <c r="B193" s="11" t="inlineStr">
        <is>
          <t>10-02</t>
        </is>
      </c>
      <c r="C193" s="11" t="inlineStr">
        <is>
          <t>10-Production-Infrastructure</t>
        </is>
      </c>
      <c r="D193" s="11" t="n">
        <v>3</v>
      </c>
      <c r="E193" s="11" t="inlineStr">
        <is>
          <t>vLLM docs</t>
        </is>
      </c>
      <c r="F193" s="12" t="inlineStr">
        <is>
          <t>https://docs.vllm.ai/en/latest/</t>
        </is>
      </c>
      <c r="G193" s="12">
        <f>IF(F193="","",HYPERLINK(F193,"Open link"))</f>
        <v/>
      </c>
      <c r="H193" s="12">
        <f>IF(M193="","",IF(Config!$B$6="GitHub",HYPERLINK(Config!$B$5&amp;M193,"Open parent doc"),HYPERLINK("file://"&amp;Config!$B$4&amp;M193,"Open parent doc")))</f>
        <v/>
      </c>
      <c r="I193" s="11" t="inlineStr">
        <is>
          <t>Intermediate</t>
        </is>
      </c>
      <c r="J193" s="11" t="inlineStr">
        <is>
          <t>30 min</t>
        </is>
      </c>
      <c r="K193" s="11" t="inlineStr">
        <is>
          <t>Container deploy</t>
        </is>
      </c>
      <c r="L193" s="11" t="inlineStr">
        <is>
          <t>Docker</t>
        </is>
      </c>
      <c r="M193" s="11" t="inlineStr">
        <is>
          <t>Modules/10-Production-Infrastructure/10-02-Docker-Kubernetes-CICD.md</t>
        </is>
      </c>
      <c r="N193" s="11" t="inlineStr">
        <is>
          <t>No</t>
        </is>
      </c>
      <c r="O193" s="11" t="inlineStr"/>
    </row>
    <row r="194">
      <c r="A194" s="11" t="inlineStr">
        <is>
          <t>Module</t>
        </is>
      </c>
      <c r="B194" s="11" t="inlineStr">
        <is>
          <t>10-03</t>
        </is>
      </c>
      <c r="C194" s="11" t="inlineStr">
        <is>
          <t>10-Production-Infrastructure</t>
        </is>
      </c>
      <c r="D194" s="11" t="n">
        <v>1</v>
      </c>
      <c r="E194" s="11" t="inlineStr">
        <is>
          <t>vLLM Documentation</t>
        </is>
      </c>
      <c r="F194" s="12" t="inlineStr">
        <is>
          <t>https://docs.vllm.ai/en/latest/</t>
        </is>
      </c>
      <c r="G194" s="12">
        <f>IF(F194="","",HYPERLINK(F194,"Open link"))</f>
        <v/>
      </c>
      <c r="H194" s="12">
        <f>IF(M194="","",IF(Config!$B$6="GitHub",HYPERLINK(Config!$B$5&amp;M194,"Open parent doc"),HYPERLINK("file://"&amp;Config!$B$4&amp;M194,"Open parent doc")))</f>
        <v/>
      </c>
      <c r="I194" s="11" t="inlineStr">
        <is>
          <t>Intermediate</t>
        </is>
      </c>
      <c r="J194" s="11" t="inlineStr">
        <is>
          <t>30 min</t>
        </is>
      </c>
      <c r="K194" s="11" t="inlineStr">
        <is>
          <t>Throughput knobs</t>
        </is>
      </c>
      <c r="L194" s="11" t="inlineStr">
        <is>
          <t>Optimization</t>
        </is>
      </c>
      <c r="M194" s="11" t="inlineStr">
        <is>
          <t>Modules/10-Production-Infrastructure/10-03-Cost-Latency-Optimization.md</t>
        </is>
      </c>
      <c r="N194" s="11" t="inlineStr">
        <is>
          <t>No</t>
        </is>
      </c>
      <c r="O194" s="11" t="inlineStr"/>
    </row>
    <row r="195">
      <c r="A195" s="11" t="inlineStr">
        <is>
          <t>Module</t>
        </is>
      </c>
      <c r="B195" s="11" t="inlineStr">
        <is>
          <t>10-03</t>
        </is>
      </c>
      <c r="C195" s="11" t="inlineStr">
        <is>
          <t>10-Production-Infrastructure</t>
        </is>
      </c>
      <c r="D195" s="11" t="n">
        <v>2</v>
      </c>
      <c r="E195" s="11" t="inlineStr">
        <is>
          <t>OpenAI Pricing</t>
        </is>
      </c>
      <c r="F195" s="12" t="inlineStr">
        <is>
          <t>https://openai.com/api/pricing/</t>
        </is>
      </c>
      <c r="G195" s="12">
        <f>IF(F195="","",HYPERLINK(F195,"Open link"))</f>
        <v/>
      </c>
      <c r="H195" s="12">
        <f>IF(M195="","",IF(Config!$B$6="GitHub",HYPERLINK(Config!$B$5&amp;M195,"Open parent doc"),HYPERLINK("file://"&amp;Config!$B$4&amp;M195,"Open parent doc")))</f>
        <v/>
      </c>
      <c r="I195" s="11" t="inlineStr">
        <is>
          <t>Intro</t>
        </is>
      </c>
      <c r="J195" s="11" t="inlineStr">
        <is>
          <t>15 min</t>
        </is>
      </c>
      <c r="K195" s="11" t="inlineStr">
        <is>
          <t>API unit costs</t>
        </is>
      </c>
      <c r="L195" s="11" t="inlineStr">
        <is>
          <t>Model tiers</t>
        </is>
      </c>
      <c r="M195" s="11" t="inlineStr">
        <is>
          <t>Modules/10-Production-Infrastructure/10-03-Cost-Latency-Optimization.md</t>
        </is>
      </c>
      <c r="N195" s="11" t="inlineStr">
        <is>
          <t>No</t>
        </is>
      </c>
      <c r="O195" s="11" t="inlineStr"/>
    </row>
    <row r="196">
      <c r="A196" s="11" t="inlineStr">
        <is>
          <t>Module</t>
        </is>
      </c>
      <c r="B196" s="11" t="inlineStr">
        <is>
          <t>10-04</t>
        </is>
      </c>
      <c r="C196" s="11" t="inlineStr">
        <is>
          <t>10-Production-Infrastructure</t>
        </is>
      </c>
      <c r="D196" s="11" t="n">
        <v>1</v>
      </c>
      <c r="E196" s="11" t="inlineStr">
        <is>
          <t>Redis Documentation</t>
        </is>
      </c>
      <c r="F196" s="12" t="inlineStr">
        <is>
          <t>https://redis.io/docs/latest/</t>
        </is>
      </c>
      <c r="G196" s="12">
        <f>IF(F196="","",HYPERLINK(F196,"Open link"))</f>
        <v/>
      </c>
      <c r="H196" s="12">
        <f>IF(M196="","",IF(Config!$B$6="GitHub",HYPERLINK(Config!$B$5&amp;M196,"Open parent doc"),HYPERLINK("file://"&amp;Config!$B$4&amp;M196,"Open parent doc")))</f>
        <v/>
      </c>
      <c r="I196" s="11" t="inlineStr">
        <is>
          <t>Intro</t>
        </is>
      </c>
      <c r="J196" s="11" t="inlineStr">
        <is>
          <t>45 min</t>
        </is>
      </c>
      <c r="K196" s="11" t="inlineStr">
        <is>
          <t>Commands &amp; patterns</t>
        </is>
      </c>
      <c r="L196" s="11" t="inlineStr">
        <is>
          <t>Data types; TTL</t>
        </is>
      </c>
      <c r="M196" s="11" t="inlineStr">
        <is>
          <t>Modules/10-Production-Infrastructure/10-04-Redis-Kafka-Ray.md</t>
        </is>
      </c>
      <c r="N196" s="11" t="inlineStr">
        <is>
          <t>No</t>
        </is>
      </c>
      <c r="O196" s="11" t="inlineStr"/>
    </row>
    <row r="197">
      <c r="A197" s="11" t="inlineStr">
        <is>
          <t>Module</t>
        </is>
      </c>
      <c r="B197" s="11" t="inlineStr">
        <is>
          <t>10-04</t>
        </is>
      </c>
      <c r="C197" s="11" t="inlineStr">
        <is>
          <t>10-Production-Infrastructure</t>
        </is>
      </c>
      <c r="D197" s="11" t="n">
        <v>2</v>
      </c>
      <c r="E197" s="11" t="inlineStr">
        <is>
          <t>Kafka Documentation</t>
        </is>
      </c>
      <c r="F197" s="12" t="inlineStr">
        <is>
          <t>https://kafka.apache.org/documentation/</t>
        </is>
      </c>
      <c r="G197" s="12">
        <f>IF(F197="","",HYPERLINK(F197,"Open link"))</f>
        <v/>
      </c>
      <c r="H197" s="12">
        <f>IF(M197="","",IF(Config!$B$6="GitHub",HYPERLINK(Config!$B$5&amp;M197,"Open parent doc"),HYPERLINK("file://"&amp;Config!$B$4&amp;M197,"Open parent doc")))</f>
        <v/>
      </c>
      <c r="I197" s="11" t="inlineStr">
        <is>
          <t>Intermediate</t>
        </is>
      </c>
      <c r="J197" s="11" t="inlineStr">
        <is>
          <t>60 min</t>
        </is>
      </c>
      <c r="K197" s="11" t="inlineStr">
        <is>
          <t>Topics &amp; consumer groups</t>
        </is>
      </c>
      <c r="L197" s="11" t="inlineStr">
        <is>
          <t>Introduction</t>
        </is>
      </c>
      <c r="M197" s="11" t="inlineStr">
        <is>
          <t>Modules/10-Production-Infrastructure/10-04-Redis-Kafka-Ray.md</t>
        </is>
      </c>
      <c r="N197" s="11" t="inlineStr">
        <is>
          <t>No</t>
        </is>
      </c>
      <c r="O197" s="11" t="inlineStr"/>
    </row>
    <row r="198">
      <c r="A198" s="11" t="inlineStr">
        <is>
          <t>Module</t>
        </is>
      </c>
      <c r="B198" s="11" t="inlineStr">
        <is>
          <t>10-04</t>
        </is>
      </c>
      <c r="C198" s="11" t="inlineStr">
        <is>
          <t>10-Production-Infrastructure</t>
        </is>
      </c>
      <c r="D198" s="11" t="n">
        <v>3</v>
      </c>
      <c r="E198" s="11" t="inlineStr">
        <is>
          <t>Ray Documentation</t>
        </is>
      </c>
      <c r="F198" s="12" t="inlineStr">
        <is>
          <t>https://docs.ray.io/en/latest/</t>
        </is>
      </c>
      <c r="G198" s="12">
        <f>IF(F198="","",HYPERLINK(F198,"Open link"))</f>
        <v/>
      </c>
      <c r="H198" s="12">
        <f>IF(M198="","",IF(Config!$B$6="GitHub",HYPERLINK(Config!$B$5&amp;M198,"Open parent doc"),HYPERLINK("file://"&amp;Config!$B$4&amp;M198,"Open parent doc")))</f>
        <v/>
      </c>
      <c r="I198" s="11" t="inlineStr">
        <is>
          <t>Intermediate</t>
        </is>
      </c>
      <c r="J198" s="11" t="inlineStr">
        <is>
          <t>60 min</t>
        </is>
      </c>
      <c r="K198" s="11" t="inlineStr">
        <is>
          <t>Ray Serve &amp; Train</t>
        </is>
      </c>
      <c r="L198" s="11" t="inlineStr">
        <is>
          <t>Getting started</t>
        </is>
      </c>
      <c r="M198" s="11" t="inlineStr">
        <is>
          <t>Modules/10-Production-Infrastructure/10-04-Redis-Kafka-Ray.md</t>
        </is>
      </c>
      <c r="N198" s="11" t="inlineStr">
        <is>
          <t>No</t>
        </is>
      </c>
      <c r="O198" s="11" t="inlineStr"/>
    </row>
    <row r="199">
      <c r="A199" s="11" t="inlineStr">
        <is>
          <t>Module</t>
        </is>
      </c>
      <c r="B199" s="11" t="inlineStr">
        <is>
          <t>11-01</t>
        </is>
      </c>
      <c r="C199" s="11" t="inlineStr">
        <is>
          <t>11-Security-Safety</t>
        </is>
      </c>
      <c r="D199" s="11" t="n">
        <v>1</v>
      </c>
      <c r="E199" s="11" t="inlineStr">
        <is>
          <t>OWASP LLM Top 10</t>
        </is>
      </c>
      <c r="F199" s="12" t="inlineStr">
        <is>
          <t>https://owasp.org/www-project-top-10-for-large-language-model-applications/</t>
        </is>
      </c>
      <c r="G199" s="12">
        <f>IF(F199="","",HYPERLINK(F199,"Open link"))</f>
        <v/>
      </c>
      <c r="H199" s="12">
        <f>IF(M199="","",IF(Config!$B$6="GitHub",HYPERLINK(Config!$B$5&amp;M199,"Open parent doc"),HYPERLINK("file://"&amp;Config!$B$4&amp;M199,"Open parent doc")))</f>
        <v/>
      </c>
      <c r="I199" s="11" t="inlineStr">
        <is>
          <t>Intermediate</t>
        </is>
      </c>
      <c r="J199" s="11" t="inlineStr">
        <is>
          <t>90 min</t>
        </is>
      </c>
      <c r="K199" s="11" t="inlineStr">
        <is>
          <t>Canonical list</t>
        </is>
      </c>
      <c r="L199" s="11" t="inlineStr">
        <is>
          <t>Each risk entry</t>
        </is>
      </c>
      <c r="M199" s="11" t="inlineStr">
        <is>
          <t>Modules/11-Security-Safety/11-01-OWASP-LLM-Top-10.md</t>
        </is>
      </c>
      <c r="N199" s="11" t="inlineStr">
        <is>
          <t>No</t>
        </is>
      </c>
      <c r="O199" s="11" t="inlineStr"/>
    </row>
    <row r="200">
      <c r="A200" s="11" t="inlineStr">
        <is>
          <t>Module</t>
        </is>
      </c>
      <c r="B200" s="11" t="inlineStr">
        <is>
          <t>11-01</t>
        </is>
      </c>
      <c r="C200" s="11" t="inlineStr">
        <is>
          <t>11-Security-Safety</t>
        </is>
      </c>
      <c r="D200" s="11" t="n">
        <v>2</v>
      </c>
      <c r="E200" s="11" t="inlineStr">
        <is>
          <t>NIST AI RMF</t>
        </is>
      </c>
      <c r="F200" s="12" t="inlineStr">
        <is>
          <t>https://www.nist.gov/itl/ai-risk-management-framework</t>
        </is>
      </c>
      <c r="G200" s="12">
        <f>IF(F200="","",HYPERLINK(F200,"Open link"))</f>
        <v/>
      </c>
      <c r="H200" s="12">
        <f>IF(M200="","",IF(Config!$B$6="GitHub",HYPERLINK(Config!$B$5&amp;M200,"Open parent doc"),HYPERLINK("file://"&amp;Config!$B$4&amp;M200,"Open parent doc")))</f>
        <v/>
      </c>
      <c r="I200" s="11" t="inlineStr">
        <is>
          <t>Advanced</t>
        </is>
      </c>
      <c r="J200" s="11" t="inlineStr">
        <is>
          <t>60 min</t>
        </is>
      </c>
      <c r="K200" s="11" t="inlineStr">
        <is>
          <t>Enterprise mapping</t>
        </is>
      </c>
      <c r="L200" s="11" t="inlineStr">
        <is>
          <t>Govern / Map</t>
        </is>
      </c>
      <c r="M200" s="11" t="inlineStr">
        <is>
          <t>Modules/11-Security-Safety/11-01-OWASP-LLM-Top-10.md</t>
        </is>
      </c>
      <c r="N200" s="11" t="inlineStr">
        <is>
          <t>No</t>
        </is>
      </c>
      <c r="O200" s="11" t="inlineStr"/>
    </row>
    <row r="201">
      <c r="A201" s="11" t="inlineStr">
        <is>
          <t>Module</t>
        </is>
      </c>
      <c r="B201" s="11" t="inlineStr">
        <is>
          <t>11-02</t>
        </is>
      </c>
      <c r="C201" s="11" t="inlineStr">
        <is>
          <t>11-Security-Safety</t>
        </is>
      </c>
      <c r="D201" s="11" t="n">
        <v>1</v>
      </c>
      <c r="E201" s="11" t="inlineStr">
        <is>
          <t>OWASP LLM Top 10</t>
        </is>
      </c>
      <c r="F201" s="12" t="inlineStr">
        <is>
          <t>https://owasp.org/www-project-top-10-for-large-language-model-applications/</t>
        </is>
      </c>
      <c r="G201" s="12">
        <f>IF(F201="","",HYPERLINK(F201,"Open link"))</f>
        <v/>
      </c>
      <c r="H201" s="12">
        <f>IF(M201="","",IF(Config!$B$6="GitHub",HYPERLINK(Config!$B$5&amp;M201,"Open parent doc"),HYPERLINK("file://"&amp;Config!$B$4&amp;M201,"Open parent doc")))</f>
        <v/>
      </c>
      <c r="I201" s="11" t="inlineStr">
        <is>
          <t>Intermediate</t>
        </is>
      </c>
      <c r="J201" s="11" t="inlineStr">
        <is>
          <t>60 min</t>
        </is>
      </c>
      <c r="K201" s="11" t="inlineStr">
        <is>
          <t>LLM01 context</t>
        </is>
      </c>
      <c r="L201" s="11" t="inlineStr">
        <is>
          <t>Prompt injection</t>
        </is>
      </c>
      <c r="M201" s="11" t="inlineStr">
        <is>
          <t>Modules/11-Security-Safety/11-02-Prompt-Injection-Defense.md</t>
        </is>
      </c>
      <c r="N201" s="11" t="inlineStr">
        <is>
          <t>No</t>
        </is>
      </c>
      <c r="O201" s="11" t="inlineStr"/>
    </row>
    <row r="202">
      <c r="A202" s="11" t="inlineStr">
        <is>
          <t>Module</t>
        </is>
      </c>
      <c r="B202" s="11" t="inlineStr">
        <is>
          <t>11-02</t>
        </is>
      </c>
      <c r="C202" s="11" t="inlineStr">
        <is>
          <t>11-Security-Safety</t>
        </is>
      </c>
      <c r="D202" s="11" t="n">
        <v>2</v>
      </c>
      <c r="E202" s="11" t="inlineStr">
        <is>
          <t>Promptfoo</t>
        </is>
      </c>
      <c r="F202" s="12" t="inlineStr">
        <is>
          <t>https://www.promptfoo.dev/docs/intro/</t>
        </is>
      </c>
      <c r="G202" s="12">
        <f>IF(F202="","",HYPERLINK(F202,"Open link"))</f>
        <v/>
      </c>
      <c r="H202" s="12">
        <f>IF(M202="","",IF(Config!$B$6="GitHub",HYPERLINK(Config!$B$5&amp;M202,"Open parent doc"),HYPERLINK("file://"&amp;Config!$B$4&amp;M202,"Open parent doc")))</f>
        <v/>
      </c>
      <c r="I202" s="11" t="inlineStr">
        <is>
          <t>Intermediate</t>
        </is>
      </c>
      <c r="J202" s="11" t="inlineStr">
        <is>
          <t>45 min</t>
        </is>
      </c>
      <c r="K202" s="11" t="inlineStr">
        <is>
          <t>Red team CI</t>
        </is>
      </c>
      <c r="L202" s="11" t="inlineStr">
        <is>
          <t>Assertions</t>
        </is>
      </c>
      <c r="M202" s="11" t="inlineStr">
        <is>
          <t>Modules/11-Security-Safety/11-02-Prompt-Injection-Defense.md</t>
        </is>
      </c>
      <c r="N202" s="11" t="inlineStr">
        <is>
          <t>No</t>
        </is>
      </c>
      <c r="O202" s="11" t="inlineStr"/>
    </row>
    <row r="203">
      <c r="A203" s="11" t="inlineStr">
        <is>
          <t>Module</t>
        </is>
      </c>
      <c r="B203" s="11" t="inlineStr">
        <is>
          <t>12-01</t>
        </is>
      </c>
      <c r="C203" s="11" t="inlineStr">
        <is>
          <t>12-Advanced-Topics</t>
        </is>
      </c>
      <c r="D203" s="11" t="n">
        <v>1</v>
      </c>
      <c r="E203" s="11" t="inlineStr">
        <is>
          <t>DeepEval</t>
        </is>
      </c>
      <c r="F203" s="12" t="inlineStr">
        <is>
          <t>https://deepeval.com/docs/getting-started</t>
        </is>
      </c>
      <c r="G203" s="12">
        <f>IF(F203="","",HYPERLINK(F203,"Open link"))</f>
        <v/>
      </c>
      <c r="H203" s="12">
        <f>IF(M203="","",IF(Config!$B$6="GitHub",HYPERLINK(Config!$B$5&amp;M203,"Open parent doc"),HYPERLINK("file://"&amp;Config!$B$4&amp;M203,"Open parent doc")))</f>
        <v/>
      </c>
      <c r="I203" s="11" t="inlineStr">
        <is>
          <t>Intermediate</t>
        </is>
      </c>
      <c r="J203" s="11" t="inlineStr">
        <is>
          <t>40 min</t>
        </is>
      </c>
      <c r="K203" s="11" t="inlineStr">
        <is>
          <t>Faithfulness metrics</t>
        </is>
      </c>
      <c r="L203" s="11" t="inlineStr">
        <is>
          <t>Metrics</t>
        </is>
      </c>
      <c r="M203" s="11" t="inlineStr">
        <is>
          <t>Modules/12-Advanced-Topics/12-01-Research-Agents.md</t>
        </is>
      </c>
      <c r="N203" s="11" t="inlineStr">
        <is>
          <t>No</t>
        </is>
      </c>
      <c r="O203" s="11" t="inlineStr"/>
    </row>
    <row r="204">
      <c r="A204" s="11" t="inlineStr">
        <is>
          <t>Module</t>
        </is>
      </c>
      <c r="B204" s="11" t="inlineStr">
        <is>
          <t>12-02</t>
        </is>
      </c>
      <c r="C204" s="11" t="inlineStr">
        <is>
          <t>12-Advanced-Topics</t>
        </is>
      </c>
      <c r="D204" s="11" t="n">
        <v>1</v>
      </c>
      <c r="E204" s="11" t="inlineStr">
        <is>
          <t>Spider paper</t>
        </is>
      </c>
      <c r="F204" s="12" t="inlineStr">
        <is>
          <t>https://arxiv.org/abs/1809.00635</t>
        </is>
      </c>
      <c r="G204" s="12">
        <f>IF(F204="","",HYPERLINK(F204,"Open link"))</f>
        <v/>
      </c>
      <c r="H204" s="12">
        <f>IF(M204="","",IF(Config!$B$6="GitHub",HYPERLINK(Config!$B$5&amp;M204,"Open parent doc"),HYPERLINK("file://"&amp;Config!$B$4&amp;M204,"Open parent doc")))</f>
        <v/>
      </c>
      <c r="I204" s="11" t="inlineStr">
        <is>
          <t>Advanced</t>
        </is>
      </c>
      <c r="J204" s="11" t="inlineStr">
        <is>
          <t>60 min</t>
        </is>
      </c>
      <c r="K204" s="11" t="inlineStr">
        <is>
          <t>Eval benchmark</t>
        </is>
      </c>
      <c r="L204" s="11" t="inlineStr">
        <is>
          <t>Task definition</t>
        </is>
      </c>
      <c r="M204" s="11" t="inlineStr">
        <is>
          <t>Modules/12-Advanced-Topics/12-02-Text-to-SQL-Agents.md</t>
        </is>
      </c>
      <c r="N204" s="11" t="inlineStr">
        <is>
          <t>No</t>
        </is>
      </c>
      <c r="O204" s="11" t="inlineStr"/>
    </row>
    <row r="205">
      <c r="A205" s="11" t="inlineStr">
        <is>
          <t>Module</t>
        </is>
      </c>
      <c r="B205" s="11" t="inlineStr">
        <is>
          <t>12-02</t>
        </is>
      </c>
      <c r="C205" s="11" t="inlineStr">
        <is>
          <t>12-Advanced-Topics</t>
        </is>
      </c>
      <c r="D205" s="11" t="n">
        <v>2</v>
      </c>
      <c r="E205" s="11" t="inlineStr">
        <is>
          <t>BIRD benchmark</t>
        </is>
      </c>
      <c r="F205" s="12" t="inlineStr">
        <is>
          <t>https://bird-bench.github.io/</t>
        </is>
      </c>
      <c r="G205" s="12">
        <f>IF(F205="","",HYPERLINK(F205,"Open link"))</f>
        <v/>
      </c>
      <c r="H205" s="12">
        <f>IF(M205="","",IF(Config!$B$6="GitHub",HYPERLINK(Config!$B$5&amp;M205,"Open parent doc"),HYPERLINK("file://"&amp;Config!$B$4&amp;M205,"Open parent doc")))</f>
        <v/>
      </c>
      <c r="I205" s="11" t="inlineStr">
        <is>
          <t>Advanced</t>
        </is>
      </c>
      <c r="J205" s="11" t="inlineStr">
        <is>
          <t>45 min</t>
        </is>
      </c>
      <c r="K205" s="11" t="inlineStr">
        <is>
          <t>Dirty data eval</t>
        </is>
      </c>
      <c r="L205" s="11" t="inlineStr">
        <is>
          <t>Leaderboard</t>
        </is>
      </c>
      <c r="M205" s="11" t="inlineStr">
        <is>
          <t>Modules/12-Advanced-Topics/12-02-Text-to-SQL-Agents.md</t>
        </is>
      </c>
      <c r="N205" s="11" t="inlineStr">
        <is>
          <t>No</t>
        </is>
      </c>
      <c r="O205" s="11" t="inlineStr"/>
    </row>
    <row r="206">
      <c r="A206" s="11" t="inlineStr">
        <is>
          <t>Module</t>
        </is>
      </c>
      <c r="B206" s="11" t="inlineStr">
        <is>
          <t>12-04</t>
        </is>
      </c>
      <c r="C206" s="11" t="inlineStr">
        <is>
          <t>12-Advanced-Topics</t>
        </is>
      </c>
      <c r="D206" s="11" t="n">
        <v>1</v>
      </c>
      <c r="E206" s="11" t="inlineStr">
        <is>
          <t>DSPy Documentation</t>
        </is>
      </c>
      <c r="F206" s="12" t="inlineStr">
        <is>
          <t>https://dspy.ai/</t>
        </is>
      </c>
      <c r="G206" s="12">
        <f>IF(F206="","",HYPERLINK(F206,"Open link"))</f>
        <v/>
      </c>
      <c r="H206" s="12">
        <f>IF(M206="","",IF(Config!$B$6="GitHub",HYPERLINK(Config!$B$5&amp;M206,"Open parent doc"),HYPERLINK("file://"&amp;Config!$B$4&amp;M206,"Open parent doc")))</f>
        <v/>
      </c>
      <c r="I206" s="11" t="inlineStr">
        <is>
          <t>Intermediate</t>
        </is>
      </c>
      <c r="J206" s="11" t="inlineStr">
        <is>
          <t>60 min</t>
        </is>
      </c>
      <c r="K206" s="11" t="inlineStr">
        <is>
          <t>Official tutorials</t>
        </is>
      </c>
      <c r="L206" s="11" t="inlineStr">
        <is>
          <t>Signatures; Modules; Optimizers</t>
        </is>
      </c>
      <c r="M206" s="11" t="inlineStr">
        <is>
          <t>Modules/12-Advanced-Topics/12-04-DSPy-Programmatic-Prompting.md</t>
        </is>
      </c>
      <c r="N206" s="11" t="inlineStr">
        <is>
          <t>No</t>
        </is>
      </c>
      <c r="O206" s="11" t="inlineStr"/>
    </row>
    <row r="207">
      <c r="A207" s="11" t="inlineStr">
        <is>
          <t>Module</t>
        </is>
      </c>
      <c r="B207" s="11" t="inlineStr">
        <is>
          <t>12-04</t>
        </is>
      </c>
      <c r="C207" s="11" t="inlineStr">
        <is>
          <t>12-Advanced-Topics</t>
        </is>
      </c>
      <c r="D207" s="11" t="n">
        <v>2</v>
      </c>
      <c r="E207" s="11" t="inlineStr">
        <is>
          <t>DSPy GitHub</t>
        </is>
      </c>
      <c r="F207" s="12" t="inlineStr">
        <is>
          <t>https://github.com/stanfordnlp/dspy</t>
        </is>
      </c>
      <c r="G207" s="12">
        <f>IF(F207="","",HYPERLINK(F207,"Open link"))</f>
        <v/>
      </c>
      <c r="H207" s="12">
        <f>IF(M207="","",IF(Config!$B$6="GitHub",HYPERLINK(Config!$B$5&amp;M207,"Open parent doc"),HYPERLINK("file://"&amp;Config!$B$4&amp;M207,"Open parent doc")))</f>
        <v/>
      </c>
      <c r="I207" s="11" t="inlineStr">
        <is>
          <t>Intermediate</t>
        </is>
      </c>
      <c r="J207" s="11" t="inlineStr">
        <is>
          <t>30 min</t>
        </is>
      </c>
      <c r="K207" s="11" t="inlineStr">
        <is>
          <t>Examples &amp; API</t>
        </is>
      </c>
      <c r="L207" s="11" t="inlineStr">
        <is>
          <t>README; tutorials</t>
        </is>
      </c>
      <c r="M207" s="11" t="inlineStr">
        <is>
          <t>Modules/12-Advanced-Topics/12-04-DSPy-Programmatic-Prompting.md</t>
        </is>
      </c>
      <c r="N207" s="11" t="inlineStr">
        <is>
          <t>No</t>
        </is>
      </c>
      <c r="O207" s="11" t="inlineStr"/>
    </row>
    <row r="208">
      <c r="A208" s="11" t="inlineStr">
        <is>
          <t>Module</t>
        </is>
      </c>
      <c r="B208" s="11" t="inlineStr">
        <is>
          <t>12-05</t>
        </is>
      </c>
      <c r="C208" s="11" t="inlineStr">
        <is>
          <t>12-Advanced-Topics</t>
        </is>
      </c>
      <c r="D208" s="11" t="n">
        <v>1</v>
      </c>
      <c r="E208" s="11" t="inlineStr">
        <is>
          <t>https://docs.cursor.com/</t>
        </is>
      </c>
      <c r="F208" s="12" t="inlineStr">
        <is>
          <t>https://docs.cursor.com/</t>
        </is>
      </c>
      <c r="G208" s="12">
        <f>IF(F208="","",HYPERLINK(F208,"Open link"))</f>
        <v/>
      </c>
      <c r="H208" s="12">
        <f>IF(M208="","",IF(Config!$B$6="GitHub",HYPERLINK(Config!$B$5&amp;M208,"Open parent doc"),HYPERLINK("file://"&amp;Config!$B$4&amp;M208,"Open parent doc")))</f>
        <v/>
      </c>
      <c r="I208" s="11" t="inlineStr"/>
      <c r="J208" s="11" t="inlineStr"/>
      <c r="K208" s="11" t="inlineStr"/>
      <c r="L208" s="11" t="inlineStr"/>
      <c r="M208" s="11" t="inlineStr">
        <is>
          <t>Modules/12-Advanced-Topics/12-05-AI-Coding-Agents.md</t>
        </is>
      </c>
      <c r="N208" s="11" t="inlineStr">
        <is>
          <t>No</t>
        </is>
      </c>
      <c r="O208" s="11" t="inlineStr"/>
    </row>
    <row r="209">
      <c r="A209" s="11" t="inlineStr">
        <is>
          <t>Module</t>
        </is>
      </c>
      <c r="B209" s="11" t="inlineStr">
        <is>
          <t>12-05</t>
        </is>
      </c>
      <c r="C209" s="11" t="inlineStr">
        <is>
          <t>12-Advanced-Topics</t>
        </is>
      </c>
      <c r="D209" s="11" t="n">
        <v>2</v>
      </c>
      <c r="E209" s="11" t="inlineStr">
        <is>
          <t>https://docs.cursor.com/context/model-context-protocol</t>
        </is>
      </c>
      <c r="F209" s="12" t="inlineStr">
        <is>
          <t>https://docs.cursor.com/context/model-context-protocol</t>
        </is>
      </c>
      <c r="G209" s="12">
        <f>IF(F209="","",HYPERLINK(F209,"Open link"))</f>
        <v/>
      </c>
      <c r="H209" s="12">
        <f>IF(M209="","",IF(Config!$B$6="GitHub",HYPERLINK(Config!$B$5&amp;M209,"Open parent doc"),HYPERLINK("file://"&amp;Config!$B$4&amp;M209,"Open parent doc")))</f>
        <v/>
      </c>
      <c r="I209" s="11" t="inlineStr"/>
      <c r="J209" s="11" t="inlineStr"/>
      <c r="K209" s="11" t="inlineStr"/>
      <c r="L209" s="11" t="inlineStr"/>
      <c r="M209" s="11" t="inlineStr">
        <is>
          <t>Modules/12-Advanced-Topics/12-05-AI-Coding-Agents.md</t>
        </is>
      </c>
      <c r="N209" s="11" t="inlineStr">
        <is>
          <t>No</t>
        </is>
      </c>
      <c r="O209" s="11" t="inlineStr"/>
    </row>
    <row r="210">
      <c r="A210" s="11" t="inlineStr">
        <is>
          <t>Module</t>
        </is>
      </c>
      <c r="B210" s="11" t="inlineStr">
        <is>
          <t>12-05</t>
        </is>
      </c>
      <c r="C210" s="11" t="inlineStr">
        <is>
          <t>12-Advanced-Topics</t>
        </is>
      </c>
      <c r="D210" s="11" t="n">
        <v>3</v>
      </c>
      <c r="E210" s="11" t="inlineStr">
        <is>
          <t>https://docs.anthropic.com/en/docs/claude-code/overview</t>
        </is>
      </c>
      <c r="F210" s="12" t="inlineStr">
        <is>
          <t>https://docs.anthropic.com/en/docs/claude-code/overview</t>
        </is>
      </c>
      <c r="G210" s="12">
        <f>IF(F210="","",HYPERLINK(F210,"Open link"))</f>
        <v/>
      </c>
      <c r="H210" s="12">
        <f>IF(M210="","",IF(Config!$B$6="GitHub",HYPERLINK(Config!$B$5&amp;M210,"Open parent doc"),HYPERLINK("file://"&amp;Config!$B$4&amp;M210,"Open parent doc")))</f>
        <v/>
      </c>
      <c r="I210" s="11" t="inlineStr"/>
      <c r="J210" s="11" t="inlineStr"/>
      <c r="K210" s="11" t="inlineStr"/>
      <c r="L210" s="11" t="inlineStr"/>
      <c r="M210" s="11" t="inlineStr">
        <is>
          <t>Modules/12-Advanced-Topics/12-05-AI-Coding-Agents.md</t>
        </is>
      </c>
      <c r="N210" s="11" t="inlineStr">
        <is>
          <t>No</t>
        </is>
      </c>
      <c r="O210" s="11" t="inlineStr"/>
    </row>
    <row r="211">
      <c r="A211" s="11" t="inlineStr">
        <is>
          <t>Module</t>
        </is>
      </c>
      <c r="B211" s="11" t="inlineStr">
        <is>
          <t>12-05</t>
        </is>
      </c>
      <c r="C211" s="11" t="inlineStr">
        <is>
          <t>12-Advanced-Topics</t>
        </is>
      </c>
      <c r="D211" s="11" t="n">
        <v>4</v>
      </c>
      <c r="E211" s="11" t="inlineStr">
        <is>
          <t>https://docs.anthropic.com/en/docs/claude-code/security</t>
        </is>
      </c>
      <c r="F211" s="12" t="inlineStr">
        <is>
          <t>https://docs.anthropic.com/en/docs/claude-code/security</t>
        </is>
      </c>
      <c r="G211" s="12">
        <f>IF(F211="","",HYPERLINK(F211,"Open link"))</f>
        <v/>
      </c>
      <c r="H211" s="12">
        <f>IF(M211="","",IF(Config!$B$6="GitHub",HYPERLINK(Config!$B$5&amp;M211,"Open parent doc"),HYPERLINK("file://"&amp;Config!$B$4&amp;M211,"Open parent doc")))</f>
        <v/>
      </c>
      <c r="I211" s="11" t="inlineStr"/>
      <c r="J211" s="11" t="inlineStr"/>
      <c r="K211" s="11" t="inlineStr"/>
      <c r="L211" s="11" t="inlineStr"/>
      <c r="M211" s="11" t="inlineStr">
        <is>
          <t>Modules/12-Advanced-Topics/12-05-AI-Coding-Agents.md</t>
        </is>
      </c>
      <c r="N211" s="11" t="inlineStr">
        <is>
          <t>No</t>
        </is>
      </c>
      <c r="O211" s="11" t="inlineStr"/>
    </row>
    <row r="212">
      <c r="A212" s="11" t="inlineStr">
        <is>
          <t>Module</t>
        </is>
      </c>
      <c r="B212" s="11" t="inlineStr">
        <is>
          <t>12-05</t>
        </is>
      </c>
      <c r="C212" s="11" t="inlineStr">
        <is>
          <t>12-Advanced-Topics</t>
        </is>
      </c>
      <c r="D212" s="11" t="n">
        <v>5</v>
      </c>
      <c r="E212" s="11" t="inlineStr">
        <is>
          <t>https://platform.openai.com/docs/codex</t>
        </is>
      </c>
      <c r="F212" s="12" t="inlineStr">
        <is>
          <t>https://platform.openai.com/docs/codex</t>
        </is>
      </c>
      <c r="G212" s="12">
        <f>IF(F212="","",HYPERLINK(F212,"Open link"))</f>
        <v/>
      </c>
      <c r="H212" s="12">
        <f>IF(M212="","",IF(Config!$B$6="GitHub",HYPERLINK(Config!$B$5&amp;M212,"Open parent doc"),HYPERLINK("file://"&amp;Config!$B$4&amp;M212,"Open parent doc")))</f>
        <v/>
      </c>
      <c r="I212" s="11" t="inlineStr"/>
      <c r="J212" s="11" t="inlineStr"/>
      <c r="K212" s="11" t="inlineStr"/>
      <c r="L212" s="11" t="inlineStr"/>
      <c r="M212" s="11" t="inlineStr">
        <is>
          <t>Modules/12-Advanced-Topics/12-05-AI-Coding-Agents.md</t>
        </is>
      </c>
      <c r="N212" s="11" t="inlineStr">
        <is>
          <t>No</t>
        </is>
      </c>
      <c r="O212" s="11" t="inlineStr"/>
    </row>
    <row r="213">
      <c r="A213" s="11" t="inlineStr">
        <is>
          <t>Module</t>
        </is>
      </c>
      <c r="B213" s="11" t="inlineStr">
        <is>
          <t>12-05</t>
        </is>
      </c>
      <c r="C213" s="11" t="inlineStr">
        <is>
          <t>12-Advanced-Topics</t>
        </is>
      </c>
      <c r="D213" s="11" t="n">
        <v>6</v>
      </c>
      <c r="E213" s="11" t="inlineStr">
        <is>
          <t>https://platform.openai.com/docs/guides/agents</t>
        </is>
      </c>
      <c r="F213" s="12" t="inlineStr">
        <is>
          <t>https://platform.openai.com/docs/guides/agents</t>
        </is>
      </c>
      <c r="G213" s="12">
        <f>IF(F213="","",HYPERLINK(F213,"Open link"))</f>
        <v/>
      </c>
      <c r="H213" s="12">
        <f>IF(M213="","",IF(Config!$B$6="GitHub",HYPERLINK(Config!$B$5&amp;M213,"Open parent doc"),HYPERLINK("file://"&amp;Config!$B$4&amp;M213,"Open parent doc")))</f>
        <v/>
      </c>
      <c r="I213" s="11" t="inlineStr"/>
      <c r="J213" s="11" t="inlineStr"/>
      <c r="K213" s="11" t="inlineStr"/>
      <c r="L213" s="11" t="inlineStr"/>
      <c r="M213" s="11" t="inlineStr">
        <is>
          <t>Modules/12-Advanced-Topics/12-05-AI-Coding-Agents.md</t>
        </is>
      </c>
      <c r="N213" s="11" t="inlineStr">
        <is>
          <t>No</t>
        </is>
      </c>
      <c r="O213" s="11" t="inlineStr"/>
    </row>
    <row r="214">
      <c r="A214" s="11" t="inlineStr">
        <is>
          <t>Module</t>
        </is>
      </c>
      <c r="B214" s="11" t="inlineStr">
        <is>
          <t>12-05</t>
        </is>
      </c>
      <c r="C214" s="11" t="inlineStr">
        <is>
          <t>12-Advanced-Topics</t>
        </is>
      </c>
      <c r="D214" s="11" t="n">
        <v>7</v>
      </c>
      <c r="E214" s="11" t="inlineStr">
        <is>
          <t>https://modelcontextprotocol.io/</t>
        </is>
      </c>
      <c r="F214" s="12" t="inlineStr">
        <is>
          <t>https://modelcontextprotocol.io/</t>
        </is>
      </c>
      <c r="G214" s="12">
        <f>IF(F214="","",HYPERLINK(F214,"Open link"))</f>
        <v/>
      </c>
      <c r="H214" s="12">
        <f>IF(M214="","",IF(Config!$B$6="GitHub",HYPERLINK(Config!$B$5&amp;M214,"Open parent doc"),HYPERLINK("file://"&amp;Config!$B$4&amp;M214,"Open parent doc")))</f>
        <v/>
      </c>
      <c r="I214" s="11" t="inlineStr"/>
      <c r="J214" s="11" t="inlineStr"/>
      <c r="K214" s="11" t="inlineStr"/>
      <c r="L214" s="11" t="inlineStr"/>
      <c r="M214" s="11" t="inlineStr">
        <is>
          <t>Modules/12-Advanced-Topics/12-05-AI-Coding-Agents.md</t>
        </is>
      </c>
      <c r="N214" s="11" t="inlineStr">
        <is>
          <t>No</t>
        </is>
      </c>
      <c r="O214" s="11" t="inlineStr"/>
    </row>
    <row r="215">
      <c r="A215" s="11" t="inlineStr">
        <is>
          <t>Module</t>
        </is>
      </c>
      <c r="B215" s="11" t="inlineStr">
        <is>
          <t>12-05</t>
        </is>
      </c>
      <c r="C215" s="11" t="inlineStr">
        <is>
          <t>12-Advanced-Topics</t>
        </is>
      </c>
      <c r="D215" s="11" t="n">
        <v>8</v>
      </c>
      <c r="E215" s="11" t="inlineStr">
        <is>
          <t>https://spec.modelcontextprotocol.io/</t>
        </is>
      </c>
      <c r="F215" s="12" t="inlineStr">
        <is>
          <t>https://spec.modelcontextprotocol.io/</t>
        </is>
      </c>
      <c r="G215" s="12">
        <f>IF(F215="","",HYPERLINK(F215,"Open link"))</f>
        <v/>
      </c>
      <c r="H215" s="12">
        <f>IF(M215="","",IF(Config!$B$6="GitHub",HYPERLINK(Config!$B$5&amp;M215,"Open parent doc"),HYPERLINK("file://"&amp;Config!$B$4&amp;M215,"Open parent doc")))</f>
        <v/>
      </c>
      <c r="I215" s="11" t="inlineStr"/>
      <c r="J215" s="11" t="inlineStr"/>
      <c r="K215" s="11" t="inlineStr"/>
      <c r="L215" s="11" t="inlineStr"/>
      <c r="M215" s="11" t="inlineStr">
        <is>
          <t>Modules/12-Advanced-Topics/12-05-AI-Coding-Agents.md</t>
        </is>
      </c>
      <c r="N215" s="11" t="inlineStr">
        <is>
          <t>No</t>
        </is>
      </c>
      <c r="O215" s="11" t="inlineStr"/>
    </row>
    <row r="216">
      <c r="A216" s="11" t="inlineStr">
        <is>
          <t>Module</t>
        </is>
      </c>
      <c r="B216" s="11" t="inlineStr">
        <is>
          <t>12-05</t>
        </is>
      </c>
      <c r="C216" s="11" t="inlineStr">
        <is>
          <t>12-Advanced-Topics</t>
        </is>
      </c>
      <c r="D216" s="11" t="n">
        <v>9</v>
      </c>
      <c r="E216" s="11" t="inlineStr">
        <is>
          <t>https://owasp.org/www-project-top-10-for-large-language-model-applications/</t>
        </is>
      </c>
      <c r="F216" s="12" t="inlineStr">
        <is>
          <t>https://owasp.org/www-project-top-10-for-large-language-model-applications/</t>
        </is>
      </c>
      <c r="G216" s="12">
        <f>IF(F216="","",HYPERLINK(F216,"Open link"))</f>
        <v/>
      </c>
      <c r="H216" s="12">
        <f>IF(M216="","",IF(Config!$B$6="GitHub",HYPERLINK(Config!$B$5&amp;M216,"Open parent doc"),HYPERLINK("file://"&amp;Config!$B$4&amp;M216,"Open parent doc")))</f>
        <v/>
      </c>
      <c r="I216" s="11" t="inlineStr"/>
      <c r="J216" s="11" t="inlineStr"/>
      <c r="K216" s="11" t="inlineStr"/>
      <c r="L216" s="11" t="inlineStr"/>
      <c r="M216" s="11" t="inlineStr">
        <is>
          <t>Modules/12-Advanced-Topics/12-05-AI-Coding-Agents.md</t>
        </is>
      </c>
      <c r="N216" s="11" t="inlineStr">
        <is>
          <t>No</t>
        </is>
      </c>
      <c r="O216" s="11" t="inlineStr"/>
    </row>
    <row r="217">
      <c r="A217" s="11" t="inlineStr">
        <is>
          <t>Module</t>
        </is>
      </c>
      <c r="B217" s="11" t="inlineStr">
        <is>
          <t>12-06</t>
        </is>
      </c>
      <c r="C217" s="11" t="inlineStr">
        <is>
          <t>12-Advanced-Topics</t>
        </is>
      </c>
      <c r="D217" s="11" t="n">
        <v>1</v>
      </c>
      <c r="E217" s="11" t="inlineStr">
        <is>
          <t>https://www.nist.gov/itl/ai-risk-management-framework</t>
        </is>
      </c>
      <c r="F217" s="12" t="inlineStr">
        <is>
          <t>https://www.nist.gov/itl/ai-risk-management-framework</t>
        </is>
      </c>
      <c r="G217" s="12">
        <f>IF(F217="","",HYPERLINK(F217,"Open link"))</f>
        <v/>
      </c>
      <c r="H217" s="12">
        <f>IF(M217="","",IF(Config!$B$6="GitHub",HYPERLINK(Config!$B$5&amp;M217,"Open parent doc"),HYPERLINK("file://"&amp;Config!$B$4&amp;M217,"Open parent doc")))</f>
        <v/>
      </c>
      <c r="I217" s="11" t="inlineStr"/>
      <c r="J217" s="11" t="inlineStr"/>
      <c r="K217" s="11" t="inlineStr"/>
      <c r="L217" s="11" t="inlineStr"/>
      <c r="M217" s="11" t="inlineStr">
        <is>
          <t>Modules/12-Advanced-Topics/12-06-AI-Product-Thinking.md</t>
        </is>
      </c>
      <c r="N217" s="11" t="inlineStr">
        <is>
          <t>No</t>
        </is>
      </c>
      <c r="O217" s="11" t="inlineStr"/>
    </row>
    <row r="218">
      <c r="A218" s="11" t="inlineStr">
        <is>
          <t>Module</t>
        </is>
      </c>
      <c r="B218" s="11" t="inlineStr">
        <is>
          <t>12-06</t>
        </is>
      </c>
      <c r="C218" s="11" t="inlineStr">
        <is>
          <t>12-Advanced-Topics</t>
        </is>
      </c>
      <c r="D218" s="11" t="n">
        <v>2</v>
      </c>
      <c r="E218" s="11" t="inlineStr">
        <is>
          <t>https://nvlpubs.nist.gov/nistpubs/ai/NIST.AI.100-1.pdf</t>
        </is>
      </c>
      <c r="F218" s="12" t="inlineStr">
        <is>
          <t>https://nvlpubs.nist.gov/nistpubs/ai/NIST.AI.100-1.pdf</t>
        </is>
      </c>
      <c r="G218" s="12">
        <f>IF(F218="","",HYPERLINK(F218,"Open link"))</f>
        <v/>
      </c>
      <c r="H218" s="12">
        <f>IF(M218="","",IF(Config!$B$6="GitHub",HYPERLINK(Config!$B$5&amp;M218,"Open parent doc"),HYPERLINK("file://"&amp;Config!$B$4&amp;M218,"Open parent doc")))</f>
        <v/>
      </c>
      <c r="I218" s="11" t="inlineStr"/>
      <c r="J218" s="11" t="inlineStr"/>
      <c r="K218" s="11" t="inlineStr"/>
      <c r="L218" s="11" t="inlineStr"/>
      <c r="M218" s="11" t="inlineStr">
        <is>
          <t>Modules/12-Advanced-Topics/12-06-AI-Product-Thinking.md</t>
        </is>
      </c>
      <c r="N218" s="11" t="inlineStr">
        <is>
          <t>No</t>
        </is>
      </c>
      <c r="O218" s="11" t="inlineStr"/>
    </row>
    <row r="219">
      <c r="A219" s="11" t="inlineStr">
        <is>
          <t>Module</t>
        </is>
      </c>
      <c r="B219" s="11" t="inlineStr">
        <is>
          <t>12-06</t>
        </is>
      </c>
      <c r="C219" s="11" t="inlineStr">
        <is>
          <t>12-Advanced-Topics</t>
        </is>
      </c>
      <c r="D219" s="11" t="n">
        <v>3</v>
      </c>
      <c r="E219" s="11" t="inlineStr">
        <is>
          <t>https://oecd.ai/en/ai-principles</t>
        </is>
      </c>
      <c r="F219" s="12" t="inlineStr">
        <is>
          <t>https://oecd.ai/en/ai-principles</t>
        </is>
      </c>
      <c r="G219" s="12">
        <f>IF(F219="","",HYPERLINK(F219,"Open link"))</f>
        <v/>
      </c>
      <c r="H219" s="12">
        <f>IF(M219="","",IF(Config!$B$6="GitHub",HYPERLINK(Config!$B$5&amp;M219,"Open parent doc"),HYPERLINK("file://"&amp;Config!$B$4&amp;M219,"Open parent doc")))</f>
        <v/>
      </c>
      <c r="I219" s="11" t="inlineStr"/>
      <c r="J219" s="11" t="inlineStr"/>
      <c r="K219" s="11" t="inlineStr"/>
      <c r="L219" s="11" t="inlineStr"/>
      <c r="M219" s="11" t="inlineStr">
        <is>
          <t>Modules/12-Advanced-Topics/12-06-AI-Product-Thinking.md</t>
        </is>
      </c>
      <c r="N219" s="11" t="inlineStr">
        <is>
          <t>No</t>
        </is>
      </c>
      <c r="O219" s="11" t="inlineStr"/>
    </row>
    <row r="220">
      <c r="A220" s="11" t="inlineStr">
        <is>
          <t>Module</t>
        </is>
      </c>
      <c r="B220" s="11" t="inlineStr">
        <is>
          <t>12-06</t>
        </is>
      </c>
      <c r="C220" s="11" t="inlineStr">
        <is>
          <t>12-Advanced-Topics</t>
        </is>
      </c>
      <c r="D220" s="11" t="n">
        <v>4</v>
      </c>
      <c r="E220" s="11" t="inlineStr">
        <is>
          <t>https://pair.withgoogle.com/guidebook/</t>
        </is>
      </c>
      <c r="F220" s="12" t="inlineStr">
        <is>
          <t>https://pair.withgoogle.com/guidebook/</t>
        </is>
      </c>
      <c r="G220" s="12">
        <f>IF(F220="","",HYPERLINK(F220,"Open link"))</f>
        <v/>
      </c>
      <c r="H220" s="12">
        <f>IF(M220="","",IF(Config!$B$6="GitHub",HYPERLINK(Config!$B$5&amp;M220,"Open parent doc"),HYPERLINK("file://"&amp;Config!$B$4&amp;M220,"Open parent doc")))</f>
        <v/>
      </c>
      <c r="I220" s="11" t="inlineStr"/>
      <c r="J220" s="11" t="inlineStr"/>
      <c r="K220" s="11" t="inlineStr"/>
      <c r="L220" s="11" t="inlineStr"/>
      <c r="M220" s="11" t="inlineStr">
        <is>
          <t>Modules/12-Advanced-Topics/12-06-AI-Product-Thinking.md</t>
        </is>
      </c>
      <c r="N220" s="11" t="inlineStr">
        <is>
          <t>No</t>
        </is>
      </c>
      <c r="O220" s="11" t="inlineStr"/>
    </row>
    <row r="221">
      <c r="A221" s="11" t="inlineStr">
        <is>
          <t>Module</t>
        </is>
      </c>
      <c r="B221" s="11" t="inlineStr">
        <is>
          <t>12-06</t>
        </is>
      </c>
      <c r="C221" s="11" t="inlineStr">
        <is>
          <t>12-Advanced-Topics</t>
        </is>
      </c>
      <c r="D221" s="11" t="n">
        <v>5</v>
      </c>
      <c r="E221" s="11" t="inlineStr">
        <is>
          <t>https://www.microsoft.com/en-us/ai/responsible-ai</t>
        </is>
      </c>
      <c r="F221" s="12" t="inlineStr">
        <is>
          <t>https://www.microsoft.com/en-us/ai/responsible-ai</t>
        </is>
      </c>
      <c r="G221" s="12">
        <f>IF(F221="","",HYPERLINK(F221,"Open link"))</f>
        <v/>
      </c>
      <c r="H221" s="12">
        <f>IF(M221="","",IF(Config!$B$6="GitHub",HYPERLINK(Config!$B$5&amp;M221,"Open parent doc"),HYPERLINK("file://"&amp;Config!$B$4&amp;M221,"Open parent doc")))</f>
        <v/>
      </c>
      <c r="I221" s="11" t="inlineStr"/>
      <c r="J221" s="11" t="inlineStr"/>
      <c r="K221" s="11" t="inlineStr"/>
      <c r="L221" s="11" t="inlineStr"/>
      <c r="M221" s="11" t="inlineStr">
        <is>
          <t>Modules/12-Advanced-Topics/12-06-AI-Product-Thinking.md</t>
        </is>
      </c>
      <c r="N221" s="11" t="inlineStr">
        <is>
          <t>No</t>
        </is>
      </c>
      <c r="O221" s="11" t="inlineStr"/>
    </row>
    <row r="222">
      <c r="A222" s="11" t="inlineStr">
        <is>
          <t>Module</t>
        </is>
      </c>
      <c r="B222" s="11" t="inlineStr">
        <is>
          <t>12-06</t>
        </is>
      </c>
      <c r="C222" s="11" t="inlineStr">
        <is>
          <t>12-Advanced-Topics</t>
        </is>
      </c>
      <c r="D222" s="11" t="n">
        <v>6</v>
      </c>
      <c r="E222" s="11" t="inlineStr">
        <is>
          <t>https://platform.openai.com/docs/guides/safety-best-practices</t>
        </is>
      </c>
      <c r="F222" s="12" t="inlineStr">
        <is>
          <t>https://platform.openai.com/docs/guides/safety-best-practices</t>
        </is>
      </c>
      <c r="G222" s="12">
        <f>IF(F222="","",HYPERLINK(F222,"Open link"))</f>
        <v/>
      </c>
      <c r="H222" s="12">
        <f>IF(M222="","",IF(Config!$B$6="GitHub",HYPERLINK(Config!$B$5&amp;M222,"Open parent doc"),HYPERLINK("file://"&amp;Config!$B$4&amp;M222,"Open parent doc")))</f>
        <v/>
      </c>
      <c r="I222" s="11" t="inlineStr"/>
      <c r="J222" s="11" t="inlineStr"/>
      <c r="K222" s="11" t="inlineStr"/>
      <c r="L222" s="11" t="inlineStr"/>
      <c r="M222" s="11" t="inlineStr">
        <is>
          <t>Modules/12-Advanced-Topics/12-06-AI-Product-Thinking.md</t>
        </is>
      </c>
      <c r="N222" s="11" t="inlineStr">
        <is>
          <t>No</t>
        </is>
      </c>
      <c r="O222" s="11" t="inlineStr"/>
    </row>
    <row r="223">
      <c r="A223" s="11" t="inlineStr">
        <is>
          <t>Module</t>
        </is>
      </c>
      <c r="B223" s="11" t="inlineStr">
        <is>
          <t>12-06</t>
        </is>
      </c>
      <c r="C223" s="11" t="inlineStr">
        <is>
          <t>12-Advanced-Topics</t>
        </is>
      </c>
      <c r="D223" s="11" t="n">
        <v>7</v>
      </c>
      <c r="E223" s="11" t="inlineStr">
        <is>
          <t>https://owasp.org/www-project-top-10-for-large-language-model-applications/</t>
        </is>
      </c>
      <c r="F223" s="12" t="inlineStr">
        <is>
          <t>https://owasp.org/www-project-top-10-for-large-language-model-applications/</t>
        </is>
      </c>
      <c r="G223" s="12">
        <f>IF(F223="","",HYPERLINK(F223,"Open link"))</f>
        <v/>
      </c>
      <c r="H223" s="12">
        <f>IF(M223="","",IF(Config!$B$6="GitHub",HYPERLINK(Config!$B$5&amp;M223,"Open parent doc"),HYPERLINK("file://"&amp;Config!$B$4&amp;M223,"Open parent doc")))</f>
        <v/>
      </c>
      <c r="I223" s="11" t="inlineStr"/>
      <c r="J223" s="11" t="inlineStr"/>
      <c r="K223" s="11" t="inlineStr"/>
      <c r="L223" s="11" t="inlineStr"/>
      <c r="M223" s="11" t="inlineStr">
        <is>
          <t>Modules/12-Advanced-Topics/12-06-AI-Product-Thinking.md</t>
        </is>
      </c>
      <c r="N223" s="11" t="inlineStr">
        <is>
          <t>No</t>
        </is>
      </c>
      <c r="O223" s="11" t="inlineStr"/>
    </row>
    <row r="224">
      <c r="A224" s="11" t="inlineStr">
        <is>
          <t>Module</t>
        </is>
      </c>
      <c r="B224" s="11" t="inlineStr">
        <is>
          <t>12-06</t>
        </is>
      </c>
      <c r="C224" s="11" t="inlineStr">
        <is>
          <t>12-Advanced-Topics</t>
        </is>
      </c>
      <c r="D224" s="11" t="n">
        <v>8</v>
      </c>
      <c r="E224" s="11" t="inlineStr">
        <is>
          <t>https://eur-lex.europa.eu/eli/reg/2024/1689/oj</t>
        </is>
      </c>
      <c r="F224" s="12" t="inlineStr">
        <is>
          <t>https://eur-lex.europa.eu/eli/reg/2024/1689/oj</t>
        </is>
      </c>
      <c r="G224" s="12">
        <f>IF(F224="","",HYPERLINK(F224,"Open link"))</f>
        <v/>
      </c>
      <c r="H224" s="12">
        <f>IF(M224="","",IF(Config!$B$6="GitHub",HYPERLINK(Config!$B$5&amp;M224,"Open parent doc"),HYPERLINK("file://"&amp;Config!$B$4&amp;M224,"Open parent doc")))</f>
        <v/>
      </c>
      <c r="I224" s="11" t="inlineStr"/>
      <c r="J224" s="11" t="inlineStr"/>
      <c r="K224" s="11" t="inlineStr"/>
      <c r="L224" s="11" t="inlineStr"/>
      <c r="M224" s="11" t="inlineStr">
        <is>
          <t>Modules/12-Advanced-Topics/12-06-AI-Product-Thinking.md</t>
        </is>
      </c>
      <c r="N224" s="11" t="inlineStr">
        <is>
          <t>No</t>
        </is>
      </c>
      <c r="O224" s="11" t="inlineStr"/>
    </row>
    <row r="225">
      <c r="A225" s="11" t="inlineStr">
        <is>
          <t>System Design</t>
        </is>
      </c>
      <c r="B225" s="11" t="inlineStr">
        <is>
          <t>AI-Coding-Assistant</t>
        </is>
      </c>
      <c r="C225" s="11" t="inlineStr">
        <is>
          <t>System Design</t>
        </is>
      </c>
      <c r="D225" s="11" t="n">
        <v>1</v>
      </c>
      <c r="E225" s="11" t="inlineStr">
        <is>
          <t>GitHub Copilot Docs</t>
        </is>
      </c>
      <c r="F225" s="12" t="inlineStr">
        <is>
          <t>https://docs.github.com/en/copilot</t>
        </is>
      </c>
      <c r="G225" s="12">
        <f>IF(F225="","",HYPERLINK(F225,"Open link"))</f>
        <v/>
      </c>
      <c r="H225" s="12">
        <f>IF(M225="","",IF(Config!$B$6="GitHub",HYPERLINK(Config!$B$5&amp;M225,"Open parent doc"),HYPERLINK("file://"&amp;Config!$B$4&amp;M225,"Open parent doc")))</f>
        <v/>
      </c>
      <c r="I225" s="11" t="inlineStr">
        <is>
          <t>Product + privacy modes</t>
        </is>
      </c>
      <c r="J225" s="11" t="inlineStr"/>
      <c r="K225" s="11" t="inlineStr"/>
      <c r="L225" s="11" t="inlineStr"/>
      <c r="M225" s="11" t="inlineStr">
        <is>
          <t>System Design/Design-AI-Coding-Assistant.md</t>
        </is>
      </c>
      <c r="N225" s="11" t="inlineStr">
        <is>
          <t>No</t>
        </is>
      </c>
      <c r="O225" s="11" t="inlineStr"/>
    </row>
    <row r="226">
      <c r="A226" s="11" t="inlineStr">
        <is>
          <t>System Design</t>
        </is>
      </c>
      <c r="B226" s="11" t="inlineStr">
        <is>
          <t>AI-Coding-Assistant</t>
        </is>
      </c>
      <c r="C226" s="11" t="inlineStr">
        <is>
          <t>System Design</t>
        </is>
      </c>
      <c r="D226" s="11" t="n">
        <v>2</v>
      </c>
      <c r="E226" s="11" t="inlineStr">
        <is>
          <t>Cursor Docs</t>
        </is>
      </c>
      <c r="F226" s="12" t="inlineStr">
        <is>
          <t>https://cursor.com/docs</t>
        </is>
      </c>
      <c r="G226" s="12">
        <f>IF(F226="","",HYPERLINK(F226,"Open link"))</f>
        <v/>
      </c>
      <c r="H226" s="12">
        <f>IF(M226="","",IF(Config!$B$6="GitHub",HYPERLINK(Config!$B$5&amp;M226,"Open parent doc"),HYPERLINK("file://"&amp;Config!$B$4&amp;M226,"Open parent doc")))</f>
        <v/>
      </c>
      <c r="I226" s="11" t="inlineStr">
        <is>
          <t>Agent + codebase context</t>
        </is>
      </c>
      <c r="J226" s="11" t="inlineStr"/>
      <c r="K226" s="11" t="inlineStr"/>
      <c r="L226" s="11" t="inlineStr"/>
      <c r="M226" s="11" t="inlineStr">
        <is>
          <t>System Design/Design-AI-Coding-Assistant.md</t>
        </is>
      </c>
      <c r="N226" s="11" t="inlineStr">
        <is>
          <t>No</t>
        </is>
      </c>
      <c r="O226" s="11" t="inlineStr"/>
    </row>
    <row r="227">
      <c r="A227" s="11" t="inlineStr">
        <is>
          <t>System Design</t>
        </is>
      </c>
      <c r="B227" s="11" t="inlineStr">
        <is>
          <t>AI-Coding-Assistant</t>
        </is>
      </c>
      <c r="C227" s="11" t="inlineStr">
        <is>
          <t>System Design</t>
        </is>
      </c>
      <c r="D227" s="11" t="n">
        <v>3</v>
      </c>
      <c r="E227" s="11" t="inlineStr">
        <is>
          <t>Code Llama paper</t>
        </is>
      </c>
      <c r="F227" s="12" t="inlineStr">
        <is>
          <t>https://arxiv.org/abs/2308.12950</t>
        </is>
      </c>
      <c r="G227" s="12">
        <f>IF(F227="","",HYPERLINK(F227,"Open link"))</f>
        <v/>
      </c>
      <c r="H227" s="12">
        <f>IF(M227="","",IF(Config!$B$6="GitHub",HYPERLINK(Config!$B$5&amp;M227,"Open parent doc"),HYPERLINK("file://"&amp;Config!$B$4&amp;M227,"Open parent doc")))</f>
        <v/>
      </c>
      <c r="I227" s="11" t="inlineStr">
        <is>
          <t>FIM training</t>
        </is>
      </c>
      <c r="J227" s="11" t="inlineStr"/>
      <c r="K227" s="11" t="inlineStr"/>
      <c r="L227" s="11" t="inlineStr"/>
      <c r="M227" s="11" t="inlineStr">
        <is>
          <t>System Design/Design-AI-Coding-Assistant.md</t>
        </is>
      </c>
      <c r="N227" s="11" t="inlineStr">
        <is>
          <t>No</t>
        </is>
      </c>
      <c r="O227" s="11" t="inlineStr"/>
    </row>
    <row r="228">
      <c r="A228" s="11" t="inlineStr">
        <is>
          <t>System Design</t>
        </is>
      </c>
      <c r="B228" s="11" t="inlineStr">
        <is>
          <t>AI-Coding-Assistant</t>
        </is>
      </c>
      <c r="C228" s="11" t="inlineStr">
        <is>
          <t>System Design</t>
        </is>
      </c>
      <c r="D228" s="11" t="n">
        <v>4</v>
      </c>
      <c r="E228" s="11" t="inlineStr">
        <is>
          <t>SWE-bench</t>
        </is>
      </c>
      <c r="F228" s="12" t="inlineStr">
        <is>
          <t>https://www.swebench.com/</t>
        </is>
      </c>
      <c r="G228" s="12">
        <f>IF(F228="","",HYPERLINK(F228,"Open link"))</f>
        <v/>
      </c>
      <c r="H228" s="12">
        <f>IF(M228="","",IF(Config!$B$6="GitHub",HYPERLINK(Config!$B$5&amp;M228,"Open parent doc"),HYPERLINK("file://"&amp;Config!$B$4&amp;M228,"Open parent doc")))</f>
        <v/>
      </c>
      <c r="I228" s="11" t="inlineStr">
        <is>
          <t>Agent eval benchmark</t>
        </is>
      </c>
      <c r="J228" s="11" t="inlineStr"/>
      <c r="K228" s="11" t="inlineStr"/>
      <c r="L228" s="11" t="inlineStr"/>
      <c r="M228" s="11" t="inlineStr">
        <is>
          <t>System Design/Design-AI-Coding-Assistant.md</t>
        </is>
      </c>
      <c r="N228" s="11" t="inlineStr">
        <is>
          <t>No</t>
        </is>
      </c>
      <c r="O228" s="11" t="inlineStr"/>
    </row>
    <row r="229">
      <c r="A229" s="11" t="inlineStr">
        <is>
          <t>System Design</t>
        </is>
      </c>
      <c r="B229" s="11" t="inlineStr">
        <is>
          <t>AI-Coding-Assistant</t>
        </is>
      </c>
      <c r="C229" s="11" t="inlineStr">
        <is>
          <t>System Design</t>
        </is>
      </c>
      <c r="D229" s="11" t="n">
        <v>5</v>
      </c>
      <c r="E229" s="11" t="inlineStr">
        <is>
          <t>Tree-sitter</t>
        </is>
      </c>
      <c r="F229" s="12" t="inlineStr">
        <is>
          <t>https://tree-sitter.github.io/tree-sitter/</t>
        </is>
      </c>
      <c r="G229" s="12">
        <f>IF(F229="","",HYPERLINK(F229,"Open link"))</f>
        <v/>
      </c>
      <c r="H229" s="12">
        <f>IF(M229="","",IF(Config!$B$6="GitHub",HYPERLINK(Config!$B$5&amp;M229,"Open parent doc"),HYPERLINK("file://"&amp;Config!$B$4&amp;M229,"Open parent doc")))</f>
        <v/>
      </c>
      <c r="I229" s="11" t="inlineStr">
        <is>
          <t>Parsing for chunking</t>
        </is>
      </c>
      <c r="J229" s="11" t="inlineStr"/>
      <c r="K229" s="11" t="inlineStr"/>
      <c r="L229" s="11" t="inlineStr"/>
      <c r="M229" s="11" t="inlineStr">
        <is>
          <t>System Design/Design-AI-Coding-Assistant.md</t>
        </is>
      </c>
      <c r="N229" s="11" t="inlineStr">
        <is>
          <t>No</t>
        </is>
      </c>
      <c r="O229" s="11" t="inlineStr"/>
    </row>
    <row r="230">
      <c r="A230" s="11" t="inlineStr">
        <is>
          <t>System Design</t>
        </is>
      </c>
      <c r="B230" s="11" t="inlineStr">
        <is>
          <t>AI-Customer-Support</t>
        </is>
      </c>
      <c r="C230" s="11" t="inlineStr">
        <is>
          <t>System Design</t>
        </is>
      </c>
      <c r="D230" s="11" t="n">
        <v>1</v>
      </c>
      <c r="E230" s="11" t="inlineStr">
        <is>
          <t>Zendesk AI</t>
        </is>
      </c>
      <c r="F230" s="12" t="inlineStr">
        <is>
          <t>https://www.zendesk.com/service/ai/</t>
        </is>
      </c>
      <c r="G230" s="12">
        <f>IF(F230="","",HYPERLINK(F230,"Open link"))</f>
        <v/>
      </c>
      <c r="H230" s="12">
        <f>IF(M230="","",IF(Config!$B$6="GitHub",HYPERLINK(Config!$B$5&amp;M230,"Open parent doc"),HYPERLINK("file://"&amp;Config!$B$4&amp;M230,"Open parent doc")))</f>
        <v/>
      </c>
      <c r="I230" s="11" t="inlineStr">
        <is>
          <t>Industry patterns</t>
        </is>
      </c>
      <c r="J230" s="11" t="inlineStr"/>
      <c r="K230" s="11" t="inlineStr"/>
      <c r="L230" s="11" t="inlineStr"/>
      <c r="M230" s="11" t="inlineStr">
        <is>
          <t>System Design/Design-AI-Customer-Support.md</t>
        </is>
      </c>
      <c r="N230" s="11" t="inlineStr">
        <is>
          <t>No</t>
        </is>
      </c>
      <c r="O230" s="11" t="inlineStr"/>
    </row>
    <row r="231">
      <c r="A231" s="11" t="inlineStr">
        <is>
          <t>System Design</t>
        </is>
      </c>
      <c r="B231" s="11" t="inlineStr">
        <is>
          <t>AI-Customer-Support</t>
        </is>
      </c>
      <c r="C231" s="11" t="inlineStr">
        <is>
          <t>System Design</t>
        </is>
      </c>
      <c r="D231" s="11" t="n">
        <v>2</v>
      </c>
      <c r="E231" s="11" t="inlineStr">
        <is>
          <t>Intercom Fin</t>
        </is>
      </c>
      <c r="F231" s="12" t="inlineStr">
        <is>
          <t>https://www.intercom.com/fin</t>
        </is>
      </c>
      <c r="G231" s="12">
        <f>IF(F231="","",HYPERLINK(F231,"Open link"))</f>
        <v/>
      </c>
      <c r="H231" s="12">
        <f>IF(M231="","",IF(Config!$B$6="GitHub",HYPERLINK(Config!$B$5&amp;M231,"Open parent doc"),HYPERLINK("file://"&amp;Config!$B$4&amp;M231,"Open parent doc")))</f>
        <v/>
      </c>
      <c r="I231" s="11" t="inlineStr">
        <is>
          <t>RAG support agent</t>
        </is>
      </c>
      <c r="J231" s="11" t="inlineStr"/>
      <c r="K231" s="11" t="inlineStr"/>
      <c r="L231" s="11" t="inlineStr"/>
      <c r="M231" s="11" t="inlineStr">
        <is>
          <t>System Design/Design-AI-Customer-Support.md</t>
        </is>
      </c>
      <c r="N231" s="11" t="inlineStr">
        <is>
          <t>No</t>
        </is>
      </c>
      <c r="O231" s="11" t="inlineStr"/>
    </row>
    <row r="232">
      <c r="A232" s="11" t="inlineStr">
        <is>
          <t>System Design</t>
        </is>
      </c>
      <c r="B232" s="11" t="inlineStr">
        <is>
          <t>AI-Customer-Support</t>
        </is>
      </c>
      <c r="C232" s="11" t="inlineStr">
        <is>
          <t>System Design</t>
        </is>
      </c>
      <c r="D232" s="11" t="n">
        <v>3</v>
      </c>
      <c r="E232" s="11" t="inlineStr">
        <is>
          <t>Salesforce Einstein Service</t>
        </is>
      </c>
      <c r="F232" s="12" t="inlineStr">
        <is>
          <t>https://www.salesforce.com/service/ai/</t>
        </is>
      </c>
      <c r="G232" s="12">
        <f>IF(F232="","",HYPERLINK(F232,"Open link"))</f>
        <v/>
      </c>
      <c r="H232" s="12">
        <f>IF(M232="","",IF(Config!$B$6="GitHub",HYPERLINK(Config!$B$5&amp;M232,"Open parent doc"),HYPERLINK("file://"&amp;Config!$B$4&amp;M232,"Open parent doc")))</f>
        <v/>
      </c>
      <c r="I232" s="11" t="inlineStr">
        <is>
          <t>CRM-integrated support</t>
        </is>
      </c>
      <c r="J232" s="11" t="inlineStr"/>
      <c r="K232" s="11" t="inlineStr"/>
      <c r="L232" s="11" t="inlineStr"/>
      <c r="M232" s="11" t="inlineStr">
        <is>
          <t>System Design/Design-AI-Customer-Support.md</t>
        </is>
      </c>
      <c r="N232" s="11" t="inlineStr">
        <is>
          <t>No</t>
        </is>
      </c>
      <c r="O232" s="11" t="inlineStr"/>
    </row>
    <row r="233">
      <c r="A233" s="11" t="inlineStr">
        <is>
          <t>System Design</t>
        </is>
      </c>
      <c r="B233" s="11" t="inlineStr">
        <is>
          <t>AI-Customer-Support</t>
        </is>
      </c>
      <c r="C233" s="11" t="inlineStr">
        <is>
          <t>System Design</t>
        </is>
      </c>
      <c r="D233" s="11" t="n">
        <v>4</v>
      </c>
      <c r="E233" s="11" t="inlineStr">
        <is>
          <t>OWASP LLM Top 10</t>
        </is>
      </c>
      <c r="F233" s="12" t="inlineStr">
        <is>
          <t>https://owasp.org/www-project-top-10-for-large-language-model-applications/</t>
        </is>
      </c>
      <c r="G233" s="12">
        <f>IF(F233="","",HYPERLINK(F233,"Open link"))</f>
        <v/>
      </c>
      <c r="H233" s="12">
        <f>IF(M233="","",IF(Config!$B$6="GitHub",HYPERLINK(Config!$B$5&amp;M233,"Open parent doc"),HYPERLINK("file://"&amp;Config!$B$4&amp;M233,"Open parent doc")))</f>
        <v/>
      </c>
      <c r="I233" s="11" t="inlineStr">
        <is>
          <t>Excessive agency</t>
        </is>
      </c>
      <c r="J233" s="11" t="inlineStr"/>
      <c r="K233" s="11" t="inlineStr"/>
      <c r="L233" s="11" t="inlineStr"/>
      <c r="M233" s="11" t="inlineStr">
        <is>
          <t>System Design/Design-AI-Customer-Support.md</t>
        </is>
      </c>
      <c r="N233" s="11" t="inlineStr">
        <is>
          <t>No</t>
        </is>
      </c>
      <c r="O233" s="11" t="inlineStr"/>
    </row>
    <row r="234">
      <c r="A234" s="11" t="inlineStr">
        <is>
          <t>System Design</t>
        </is>
      </c>
      <c r="B234" s="11" t="inlineStr">
        <is>
          <t>AI-Customer-Support</t>
        </is>
      </c>
      <c r="C234" s="11" t="inlineStr">
        <is>
          <t>System Design</t>
        </is>
      </c>
      <c r="D234" s="11" t="n">
        <v>5</v>
      </c>
      <c r="E234" s="11" t="inlineStr">
        <is>
          <t>ITIL escalation</t>
        </is>
      </c>
      <c r="F234" s="12" t="inlineStr">
        <is>
          <t>https://www.axelos.com/certifications/itil-service-management</t>
        </is>
      </c>
      <c r="G234" s="12">
        <f>IF(F234="","",HYPERLINK(F234,"Open link"))</f>
        <v/>
      </c>
      <c r="H234" s="12">
        <f>IF(M234="","",IF(Config!$B$6="GitHub",HYPERLINK(Config!$B$5&amp;M234,"Open parent doc"),HYPERLINK("file://"&amp;Config!$B$4&amp;M234,"Open parent doc")))</f>
        <v/>
      </c>
      <c r="I234" s="11" t="inlineStr">
        <is>
          <t>SLA/queue concepts</t>
        </is>
      </c>
      <c r="J234" s="11" t="inlineStr"/>
      <c r="K234" s="11" t="inlineStr"/>
      <c r="L234" s="11" t="inlineStr"/>
      <c r="M234" s="11" t="inlineStr">
        <is>
          <t>System Design/Design-AI-Customer-Support.md</t>
        </is>
      </c>
      <c r="N234" s="11" t="inlineStr">
        <is>
          <t>No</t>
        </is>
      </c>
      <c r="O234" s="11" t="inlineStr"/>
    </row>
    <row r="235">
      <c r="A235" s="11" t="inlineStr">
        <is>
          <t>System Design</t>
        </is>
      </c>
      <c r="B235" s="11" t="inlineStr">
        <is>
          <t>AI-Research-Agent</t>
        </is>
      </c>
      <c r="C235" s="11" t="inlineStr">
        <is>
          <t>System Design</t>
        </is>
      </c>
      <c r="D235" s="11" t="n">
        <v>1</v>
      </c>
      <c r="E235" s="11" t="inlineStr">
        <is>
          <t>OpenAI Deep Research</t>
        </is>
      </c>
      <c r="F235" s="12" t="inlineStr">
        <is>
          <t>https://openai.com/index/introducing-deep-research/</t>
        </is>
      </c>
      <c r="G235" s="12">
        <f>IF(F235="","",HYPERLINK(F235,"Open link"))</f>
        <v/>
      </c>
      <c r="H235" s="12">
        <f>IF(M235="","",IF(Config!$B$6="GitHub",HYPERLINK(Config!$B$5&amp;M235,"Open parent doc"),HYPERLINK("file://"&amp;Config!$B$4&amp;M235,"Open parent doc")))</f>
        <v/>
      </c>
      <c r="I235" s="11" t="inlineStr">
        <is>
          <t>Product reference</t>
        </is>
      </c>
      <c r="J235" s="11" t="inlineStr"/>
      <c r="K235" s="11" t="inlineStr"/>
      <c r="L235" s="11" t="inlineStr"/>
      <c r="M235" s="11" t="inlineStr">
        <is>
          <t>System Design/Design-AI-Research-Agent.md</t>
        </is>
      </c>
      <c r="N235" s="11" t="inlineStr">
        <is>
          <t>No</t>
        </is>
      </c>
      <c r="O235" s="11" t="inlineStr"/>
    </row>
    <row r="236">
      <c r="A236" s="11" t="inlineStr">
        <is>
          <t>System Design</t>
        </is>
      </c>
      <c r="B236" s="11" t="inlineStr">
        <is>
          <t>AI-Research-Agent</t>
        </is>
      </c>
      <c r="C236" s="11" t="inlineStr">
        <is>
          <t>System Design</t>
        </is>
      </c>
      <c r="D236" s="11" t="n">
        <v>2</v>
      </c>
      <c r="E236" s="11" t="inlineStr">
        <is>
          <t>Gemini Deep Research</t>
        </is>
      </c>
      <c r="F236" s="12" t="inlineStr">
        <is>
          <t>https://blog.google/products/gemini/google-gemini-deep-research/</t>
        </is>
      </c>
      <c r="G236" s="12">
        <f>IF(F236="","",HYPERLINK(F236,"Open link"))</f>
        <v/>
      </c>
      <c r="H236" s="12">
        <f>IF(M236="","",IF(Config!$B$6="GitHub",HYPERLINK(Config!$B$5&amp;M236,"Open parent doc"),HYPERLINK("file://"&amp;Config!$B$4&amp;M236,"Open parent doc")))</f>
        <v/>
      </c>
      <c r="I236" s="11" t="inlineStr">
        <is>
          <t>Alternative architecture cues</t>
        </is>
      </c>
      <c r="J236" s="11" t="inlineStr"/>
      <c r="K236" s="11" t="inlineStr"/>
      <c r="L236" s="11" t="inlineStr"/>
      <c r="M236" s="11" t="inlineStr">
        <is>
          <t>System Design/Design-AI-Research-Agent.md</t>
        </is>
      </c>
      <c r="N236" s="11" t="inlineStr">
        <is>
          <t>No</t>
        </is>
      </c>
      <c r="O236" s="11" t="inlineStr"/>
    </row>
    <row r="237">
      <c r="A237" s="11" t="inlineStr">
        <is>
          <t>System Design</t>
        </is>
      </c>
      <c r="B237" s="11" t="inlineStr">
        <is>
          <t>AI-Research-Agent</t>
        </is>
      </c>
      <c r="C237" s="11" t="inlineStr">
        <is>
          <t>System Design</t>
        </is>
      </c>
      <c r="D237" s="11" t="n">
        <v>3</v>
      </c>
      <c r="E237" s="11" t="inlineStr">
        <is>
          <t>ReAct</t>
        </is>
      </c>
      <c r="F237" s="12" t="inlineStr">
        <is>
          <t>https://arxiv.org/abs/2210.03629</t>
        </is>
      </c>
      <c r="G237" s="12">
        <f>IF(F237="","",HYPERLINK(F237,"Open link"))</f>
        <v/>
      </c>
      <c r="H237" s="12">
        <f>IF(M237="","",IF(Config!$B$6="GitHub",HYPERLINK(Config!$B$5&amp;M237,"Open parent doc"),HYPERLINK("file://"&amp;Config!$B$4&amp;M237,"Open parent doc")))</f>
        <v/>
      </c>
      <c r="I237" s="11" t="inlineStr">
        <is>
          <t>Tool loop foundation</t>
        </is>
      </c>
      <c r="J237" s="11" t="inlineStr"/>
      <c r="K237" s="11" t="inlineStr"/>
      <c r="L237" s="11" t="inlineStr"/>
      <c r="M237" s="11" t="inlineStr">
        <is>
          <t>System Design/Design-AI-Research-Agent.md</t>
        </is>
      </c>
      <c r="N237" s="11" t="inlineStr">
        <is>
          <t>No</t>
        </is>
      </c>
      <c r="O237" s="11" t="inlineStr"/>
    </row>
    <row r="238">
      <c r="A238" s="11" t="inlineStr">
        <is>
          <t>System Design</t>
        </is>
      </c>
      <c r="B238" s="11" t="inlineStr">
        <is>
          <t>AI-Research-Agent</t>
        </is>
      </c>
      <c r="C238" s="11" t="inlineStr">
        <is>
          <t>System Design</t>
        </is>
      </c>
      <c r="D238" s="11" t="n">
        <v>4</v>
      </c>
      <c r="E238" s="11" t="inlineStr">
        <is>
          <t>LangGraph persistence</t>
        </is>
      </c>
      <c r="F238" s="12" t="inlineStr">
        <is>
          <t>https://langchain-ai.github.io/langgraph/concepts/persistence/</t>
        </is>
      </c>
      <c r="G238" s="12">
        <f>IF(F238="","",HYPERLINK(F238,"Open link"))</f>
        <v/>
      </c>
      <c r="H238" s="12">
        <f>IF(M238="","",IF(Config!$B$6="GitHub",HYPERLINK(Config!$B$5&amp;M238,"Open parent doc"),HYPERLINK("file://"&amp;Config!$B$4&amp;M238,"Open parent doc")))</f>
        <v/>
      </c>
      <c r="I238" s="11" t="inlineStr">
        <is>
          <t>Checkpoint patterns</t>
        </is>
      </c>
      <c r="J238" s="11" t="inlineStr"/>
      <c r="K238" s="11" t="inlineStr"/>
      <c r="L238" s="11" t="inlineStr"/>
      <c r="M238" s="11" t="inlineStr">
        <is>
          <t>System Design/Design-AI-Research-Agent.md</t>
        </is>
      </c>
      <c r="N238" s="11" t="inlineStr">
        <is>
          <t>No</t>
        </is>
      </c>
      <c r="O238" s="11" t="inlineStr"/>
    </row>
    <row r="239">
      <c r="A239" s="11" t="inlineStr">
        <is>
          <t>System Design</t>
        </is>
      </c>
      <c r="B239" s="11" t="inlineStr">
        <is>
          <t>AI-Research-Agent</t>
        </is>
      </c>
      <c r="C239" s="11" t="inlineStr">
        <is>
          <t>System Design</t>
        </is>
      </c>
      <c r="D239" s="11" t="n">
        <v>5</v>
      </c>
      <c r="E239" s="11" t="inlineStr">
        <is>
          <t>WebArena / BrowseComp evals</t>
        </is>
      </c>
      <c r="F239" s="12" t="inlineStr">
        <is>
          <t>https://arxiv.org/abs/2404.05990</t>
        </is>
      </c>
      <c r="G239" s="12">
        <f>IF(F239="","",HYPERLINK(F239,"Open link"))</f>
        <v/>
      </c>
      <c r="H239" s="12">
        <f>IF(M239="","",IF(Config!$B$6="GitHub",HYPERLINK(Config!$B$5&amp;M239,"Open parent doc"),HYPERLINK("file://"&amp;Config!$B$4&amp;M239,"Open parent doc")))</f>
        <v/>
      </c>
      <c r="I239" s="11" t="inlineStr">
        <is>
          <t>Agent browsing benchmarks</t>
        </is>
      </c>
      <c r="J239" s="11" t="inlineStr"/>
      <c r="K239" s="11" t="inlineStr"/>
      <c r="L239" s="11" t="inlineStr"/>
      <c r="M239" s="11" t="inlineStr">
        <is>
          <t>System Design/Design-AI-Research-Agent.md</t>
        </is>
      </c>
      <c r="N239" s="11" t="inlineStr">
        <is>
          <t>No</t>
        </is>
      </c>
      <c r="O239" s="11" t="inlineStr"/>
    </row>
    <row r="240">
      <c r="A240" s="11" t="inlineStr">
        <is>
          <t>System Design</t>
        </is>
      </c>
      <c r="B240" s="11" t="inlineStr">
        <is>
          <t>AI-Search-Engine</t>
        </is>
      </c>
      <c r="C240" s="11" t="inlineStr">
        <is>
          <t>System Design</t>
        </is>
      </c>
      <c r="D240" s="11" t="n">
        <v>1</v>
      </c>
      <c r="E240" s="11" t="inlineStr">
        <is>
          <t>Perplexity API</t>
        </is>
      </c>
      <c r="F240" s="12" t="inlineStr">
        <is>
          <t>https://docs.perplexity.ai/</t>
        </is>
      </c>
      <c r="G240" s="12">
        <f>IF(F240="","",HYPERLINK(F240,"Open link"))</f>
        <v/>
      </c>
      <c r="H240" s="12">
        <f>IF(M240="","",IF(Config!$B$6="GitHub",HYPERLINK(Config!$B$5&amp;M240,"Open parent doc"),HYPERLINK("file://"&amp;Config!$B$4&amp;M240,"Open parent doc")))</f>
        <v/>
      </c>
      <c r="I240" s="11" t="inlineStr">
        <is>
          <t>Answer + search API patterns</t>
        </is>
      </c>
      <c r="J240" s="11" t="inlineStr"/>
      <c r="K240" s="11" t="inlineStr"/>
      <c r="L240" s="11" t="inlineStr"/>
      <c r="M240" s="11" t="inlineStr">
        <is>
          <t>System Design/Design-AI-Search-Engine.md</t>
        </is>
      </c>
      <c r="N240" s="11" t="inlineStr">
        <is>
          <t>No</t>
        </is>
      </c>
      <c r="O240" s="11" t="inlineStr"/>
    </row>
    <row r="241">
      <c r="A241" s="11" t="inlineStr">
        <is>
          <t>System Design</t>
        </is>
      </c>
      <c r="B241" s="11" t="inlineStr">
        <is>
          <t>AI-Search-Engine</t>
        </is>
      </c>
      <c r="C241" s="11" t="inlineStr">
        <is>
          <t>System Design</t>
        </is>
      </c>
      <c r="D241" s="11" t="n">
        <v>2</v>
      </c>
      <c r="E241" s="11" t="inlineStr">
        <is>
          <t>Bing Web Search API</t>
        </is>
      </c>
      <c r="F241" s="12" t="inlineStr">
        <is>
          <t>https://learn.microsoft.com/en-us/bing/search-apis/bing-web-search/overview</t>
        </is>
      </c>
      <c r="G241" s="12">
        <f>IF(F241="","",HYPERLINK(F241,"Open link"))</f>
        <v/>
      </c>
      <c r="H241" s="12">
        <f>IF(M241="","",IF(Config!$B$6="GitHub",HYPERLINK(Config!$B$5&amp;M241,"Open parent doc"),HYPERLINK("file://"&amp;Config!$B$4&amp;M241,"Open parent doc")))</f>
        <v/>
      </c>
      <c r="I241" s="11" t="inlineStr">
        <is>
          <t>Hybrid retrieval reference</t>
        </is>
      </c>
      <c r="J241" s="11" t="inlineStr"/>
      <c r="K241" s="11" t="inlineStr"/>
      <c r="L241" s="11" t="inlineStr"/>
      <c r="M241" s="11" t="inlineStr">
        <is>
          <t>System Design/Design-AI-Search-Engine.md</t>
        </is>
      </c>
      <c r="N241" s="11" t="inlineStr">
        <is>
          <t>No</t>
        </is>
      </c>
      <c r="O241" s="11" t="inlineStr"/>
    </row>
    <row r="242">
      <c r="A242" s="11" t="inlineStr">
        <is>
          <t>System Design</t>
        </is>
      </c>
      <c r="B242" s="11" t="inlineStr">
        <is>
          <t>AI-Search-Engine</t>
        </is>
      </c>
      <c r="C242" s="11" t="inlineStr">
        <is>
          <t>System Design</t>
        </is>
      </c>
      <c r="D242" s="11" t="n">
        <v>3</v>
      </c>
      <c r="E242" s="11" t="inlineStr">
        <is>
          <t>Google Research: RAG</t>
        </is>
      </c>
      <c r="F242" s="12" t="inlineStr">
        <is>
          <t>https://research.google/blog/dear-google-search-its-time-for-rag/</t>
        </is>
      </c>
      <c r="G242" s="12">
        <f>IF(F242="","",HYPERLINK(F242,"Open link"))</f>
        <v/>
      </c>
      <c r="H242" s="12">
        <f>IF(M242="","",IF(Config!$B$6="GitHub",HYPERLINK(Config!$B$5&amp;M242,"Open parent doc"),HYPERLINK("file://"&amp;Config!$B$4&amp;M242,"Open parent doc")))</f>
        <v/>
      </c>
      <c r="I242" s="11" t="inlineStr">
        <is>
          <t>Industry RAG direction</t>
        </is>
      </c>
      <c r="J242" s="11" t="inlineStr"/>
      <c r="K242" s="11" t="inlineStr"/>
      <c r="L242" s="11" t="inlineStr"/>
      <c r="M242" s="11" t="inlineStr">
        <is>
          <t>System Design/Design-AI-Search-Engine.md</t>
        </is>
      </c>
      <c r="N242" s="11" t="inlineStr">
        <is>
          <t>No</t>
        </is>
      </c>
      <c r="O242" s="11" t="inlineStr"/>
    </row>
    <row r="243">
      <c r="A243" s="11" t="inlineStr">
        <is>
          <t>System Design</t>
        </is>
      </c>
      <c r="B243" s="11" t="inlineStr">
        <is>
          <t>AI-Search-Engine</t>
        </is>
      </c>
      <c r="C243" s="11" t="inlineStr">
        <is>
          <t>System Design</t>
        </is>
      </c>
      <c r="D243" s="11" t="n">
        <v>4</v>
      </c>
      <c r="E243" s="11" t="inlineStr">
        <is>
          <t>Freshness in search</t>
        </is>
      </c>
      <c r="F243" s="12" t="inlineStr">
        <is>
          <t>https://arxiv.org/abs/1206.2081</t>
        </is>
      </c>
      <c r="G243" s="12">
        <f>IF(F243="","",HYPERLINK(F243,"Open link"))</f>
        <v/>
      </c>
      <c r="H243" s="12">
        <f>IF(M243="","",IF(Config!$B$6="GitHub",HYPERLINK(Config!$B$5&amp;M243,"Open parent doc"),HYPERLINK("file://"&amp;Config!$B$4&amp;M243,"Open parent doc")))</f>
        <v/>
      </c>
      <c r="I243" s="11" t="inlineStr">
        <is>
          <t>Crawl scheduling concepts</t>
        </is>
      </c>
      <c r="J243" s="11" t="inlineStr"/>
      <c r="K243" s="11" t="inlineStr"/>
      <c r="L243" s="11" t="inlineStr"/>
      <c r="M243" s="11" t="inlineStr">
        <is>
          <t>System Design/Design-AI-Search-Engine.md</t>
        </is>
      </c>
      <c r="N243" s="11" t="inlineStr">
        <is>
          <t>No</t>
        </is>
      </c>
      <c r="O243" s="11" t="inlineStr"/>
    </row>
    <row r="244">
      <c r="A244" s="11" t="inlineStr">
        <is>
          <t>System Design</t>
        </is>
      </c>
      <c r="B244" s="11" t="inlineStr">
        <is>
          <t>AI-Search-Engine</t>
        </is>
      </c>
      <c r="C244" s="11" t="inlineStr">
        <is>
          <t>System Design</t>
        </is>
      </c>
      <c r="D244" s="11" t="n">
        <v>5</v>
      </c>
      <c r="E244" s="11" t="inlineStr">
        <is>
          <t>OWASP LLM Top 10</t>
        </is>
      </c>
      <c r="F244" s="12" t="inlineStr">
        <is>
          <t>https://owasp.org/www-project-top-10-for-large-language-model-applications/</t>
        </is>
      </c>
      <c r="G244" s="12">
        <f>IF(F244="","",HYPERLINK(F244,"Open link"))</f>
        <v/>
      </c>
      <c r="H244" s="12">
        <f>IF(M244="","",IF(Config!$B$6="GitHub",HYPERLINK(Config!$B$5&amp;M244,"Open parent doc"),HYPERLINK("file://"&amp;Config!$B$4&amp;M244,"Open parent doc")))</f>
        <v/>
      </c>
      <c r="I244" s="11" t="inlineStr">
        <is>
          <t>Untrusted web content</t>
        </is>
      </c>
      <c r="J244" s="11" t="inlineStr"/>
      <c r="K244" s="11" t="inlineStr"/>
      <c r="L244" s="11" t="inlineStr"/>
      <c r="M244" s="11" t="inlineStr">
        <is>
          <t>System Design/Design-AI-Search-Engine.md</t>
        </is>
      </c>
      <c r="N244" s="11" t="inlineStr">
        <is>
          <t>No</t>
        </is>
      </c>
      <c r="O244" s="11" t="inlineStr"/>
    </row>
    <row r="245">
      <c r="A245" s="11" t="inlineStr">
        <is>
          <t>System Design</t>
        </is>
      </c>
      <c r="B245" s="11" t="inlineStr">
        <is>
          <t>AI-Voice-Assistant</t>
        </is>
      </c>
      <c r="C245" s="11" t="inlineStr">
        <is>
          <t>System Design</t>
        </is>
      </c>
      <c r="D245" s="11" t="n">
        <v>1</v>
      </c>
      <c r="E245" s="11" t="inlineStr">
        <is>
          <t>OpenAI Realtime API</t>
        </is>
      </c>
      <c r="F245" s="12" t="inlineStr">
        <is>
          <t>https://platform.openai.com/docs/guides/realtime</t>
        </is>
      </c>
      <c r="G245" s="12">
        <f>IF(F245="","",HYPERLINK(F245,"Open link"))</f>
        <v/>
      </c>
      <c r="H245" s="12">
        <f>IF(M245="","",IF(Config!$B$6="GitHub",HYPERLINK(Config!$B$5&amp;M245,"Open parent doc"),HYPERLINK("file://"&amp;Config!$B$4&amp;M245,"Open parent doc")))</f>
        <v/>
      </c>
      <c r="I245" s="11" t="inlineStr">
        <is>
          <t>S2S / voice API patterns</t>
        </is>
      </c>
      <c r="J245" s="11" t="inlineStr"/>
      <c r="K245" s="11" t="inlineStr"/>
      <c r="L245" s="11" t="inlineStr"/>
      <c r="M245" s="11" t="inlineStr">
        <is>
          <t>System Design/Design-AI-Voice-Assistant.md</t>
        </is>
      </c>
      <c r="N245" s="11" t="inlineStr">
        <is>
          <t>No</t>
        </is>
      </c>
      <c r="O245" s="11" t="inlineStr"/>
    </row>
    <row r="246">
      <c r="A246" s="11" t="inlineStr">
        <is>
          <t>System Design</t>
        </is>
      </c>
      <c r="B246" s="11" t="inlineStr">
        <is>
          <t>AI-Voice-Assistant</t>
        </is>
      </c>
      <c r="C246" s="11" t="inlineStr">
        <is>
          <t>System Design</t>
        </is>
      </c>
      <c r="D246" s="11" t="n">
        <v>2</v>
      </c>
      <c r="E246" s="11" t="inlineStr">
        <is>
          <t>WebRTC fundamentals</t>
        </is>
      </c>
      <c r="F246" s="12" t="inlineStr">
        <is>
          <t>https://webrtc.org/getting-started/overview</t>
        </is>
      </c>
      <c r="G246" s="12">
        <f>IF(F246="","",HYPERLINK(F246,"Open link"))</f>
        <v/>
      </c>
      <c r="H246" s="12">
        <f>IF(M246="","",IF(Config!$B$6="GitHub",HYPERLINK(Config!$B$5&amp;M246,"Open parent doc"),HYPERLINK("file://"&amp;Config!$B$4&amp;M246,"Open parent doc")))</f>
        <v/>
      </c>
      <c r="I246" s="11" t="inlineStr">
        <is>
          <t>Transport layer</t>
        </is>
      </c>
      <c r="J246" s="11" t="inlineStr"/>
      <c r="K246" s="11" t="inlineStr"/>
      <c r="L246" s="11" t="inlineStr"/>
      <c r="M246" s="11" t="inlineStr">
        <is>
          <t>System Design/Design-AI-Voice-Assistant.md</t>
        </is>
      </c>
      <c r="N246" s="11" t="inlineStr">
        <is>
          <t>No</t>
        </is>
      </c>
      <c r="O246" s="11" t="inlineStr"/>
    </row>
    <row r="247">
      <c r="A247" s="11" t="inlineStr">
        <is>
          <t>System Design</t>
        </is>
      </c>
      <c r="B247" s="11" t="inlineStr">
        <is>
          <t>AI-Voice-Assistant</t>
        </is>
      </c>
      <c r="C247" s="11" t="inlineStr">
        <is>
          <t>System Design</t>
        </is>
      </c>
      <c r="D247" s="11" t="n">
        <v>3</v>
      </c>
      <c r="E247" s="11" t="inlineStr">
        <is>
          <t>Whisper paper</t>
        </is>
      </c>
      <c r="F247" s="12" t="inlineStr">
        <is>
          <t>https://arxiv.org/abs/2212.04356</t>
        </is>
      </c>
      <c r="G247" s="12">
        <f>IF(F247="","",HYPERLINK(F247,"Open link"))</f>
        <v/>
      </c>
      <c r="H247" s="12">
        <f>IF(M247="","",IF(Config!$B$6="GitHub",HYPERLINK(Config!$B$5&amp;M247,"Open parent doc"),HYPERLINK("file://"&amp;Config!$B$4&amp;M247,"Open parent doc")))</f>
        <v/>
      </c>
      <c r="I247" s="11" t="inlineStr">
        <is>
          <t>ASR baseline</t>
        </is>
      </c>
      <c r="J247" s="11" t="inlineStr"/>
      <c r="K247" s="11" t="inlineStr"/>
      <c r="L247" s="11" t="inlineStr"/>
      <c r="M247" s="11" t="inlineStr">
        <is>
          <t>System Design/Design-AI-Voice-Assistant.md</t>
        </is>
      </c>
      <c r="N247" s="11" t="inlineStr">
        <is>
          <t>No</t>
        </is>
      </c>
      <c r="O247" s="11" t="inlineStr"/>
    </row>
    <row r="248">
      <c r="A248" s="11" t="inlineStr">
        <is>
          <t>System Design</t>
        </is>
      </c>
      <c r="B248" s="11" t="inlineStr">
        <is>
          <t>AI-Voice-Assistant</t>
        </is>
      </c>
      <c r="C248" s="11" t="inlineStr">
        <is>
          <t>System Design</t>
        </is>
      </c>
      <c r="D248" s="11" t="n">
        <v>4</v>
      </c>
      <c r="E248" s="11" t="inlineStr">
        <is>
          <t>Moshi (S2S)</t>
        </is>
      </c>
      <c r="F248" s="12" t="inlineStr">
        <is>
          <t>https://arxiv.org/abs/2406.11776</t>
        </is>
      </c>
      <c r="G248" s="12">
        <f>IF(F248="","",HYPERLINK(F248,"Open link"))</f>
        <v/>
      </c>
      <c r="H248" s="12">
        <f>IF(M248="","",IF(Config!$B$6="GitHub",HYPERLINK(Config!$B$5&amp;M248,"Open parent doc"),HYPERLINK("file://"&amp;Config!$B$4&amp;M248,"Open parent doc")))</f>
        <v/>
      </c>
      <c r="I248" s="11" t="inlineStr">
        <is>
          <t>Full-duplex speech models</t>
        </is>
      </c>
      <c r="J248" s="11" t="inlineStr"/>
      <c r="K248" s="11" t="inlineStr"/>
      <c r="L248" s="11" t="inlineStr"/>
      <c r="M248" s="11" t="inlineStr">
        <is>
          <t>System Design/Design-AI-Voice-Assistant.md</t>
        </is>
      </c>
      <c r="N248" s="11" t="inlineStr">
        <is>
          <t>No</t>
        </is>
      </c>
      <c r="O248" s="11" t="inlineStr"/>
    </row>
    <row r="249">
      <c r="A249" s="11" t="inlineStr">
        <is>
          <t>System Design</t>
        </is>
      </c>
      <c r="B249" s="11" t="inlineStr">
        <is>
          <t>AI-Voice-Assistant</t>
        </is>
      </c>
      <c r="C249" s="11" t="inlineStr">
        <is>
          <t>System Design</t>
        </is>
      </c>
      <c r="D249" s="11" t="n">
        <v>5</v>
      </c>
      <c r="E249" s="11" t="inlineStr">
        <is>
          <t>Google duplex architecture talks</t>
        </is>
      </c>
      <c r="F249" s="12" t="inlineStr">
        <is>
          <t>https://ai.googleblog.com/2018/05/duplex-ai-system-for-natural-conversation.html</t>
        </is>
      </c>
      <c r="G249" s="12">
        <f>IF(F249="","",HYPERLINK(F249,"Open link"))</f>
        <v/>
      </c>
      <c r="H249" s="12">
        <f>IF(M249="","",IF(Config!$B$6="GitHub",HYPERLINK(Config!$B$5&amp;M249,"Open parent doc"),HYPERLINK("file://"&amp;Config!$B$4&amp;M249,"Open parent doc")))</f>
        <v/>
      </c>
      <c r="I249" s="11" t="inlineStr">
        <is>
          <t>Latency + barge-in history</t>
        </is>
      </c>
      <c r="J249" s="11" t="inlineStr"/>
      <c r="K249" s="11" t="inlineStr"/>
      <c r="L249" s="11" t="inlineStr"/>
      <c r="M249" s="11" t="inlineStr">
        <is>
          <t>System Design/Design-AI-Voice-Assistant.md</t>
        </is>
      </c>
      <c r="N249" s="11" t="inlineStr">
        <is>
          <t>No</t>
        </is>
      </c>
      <c r="O249" s="11" t="inlineStr"/>
    </row>
    <row r="250">
      <c r="A250" s="11" t="inlineStr">
        <is>
          <t>System Design</t>
        </is>
      </c>
      <c r="B250" s="11" t="inlineStr">
        <is>
          <t>ChatGPT</t>
        </is>
      </c>
      <c r="C250" s="11" t="inlineStr">
        <is>
          <t>System Design</t>
        </is>
      </c>
      <c r="D250" s="11" t="n">
        <v>1</v>
      </c>
      <c r="E250" s="11" t="inlineStr">
        <is>
          <t>OpenAI API Docs</t>
        </is>
      </c>
      <c r="F250" s="12" t="inlineStr">
        <is>
          <t>https://developers.openai.com/api/docs/</t>
        </is>
      </c>
      <c r="G250" s="12">
        <f>IF(F250="","",HYPERLINK(F250,"Open link"))</f>
        <v/>
      </c>
      <c r="H250" s="12">
        <f>IF(M250="","",IF(Config!$B$6="GitHub",HYPERLINK(Config!$B$5&amp;M250,"Open parent doc"),HYPERLINK("file://"&amp;Config!$B$4&amp;M250,"Open parent doc")))</f>
        <v/>
      </c>
      <c r="I250" s="11" t="inlineStr">
        <is>
          <t>Real API shapes for chat/tools</t>
        </is>
      </c>
      <c r="J250" s="11" t="inlineStr"/>
      <c r="K250" s="11" t="inlineStr"/>
      <c r="L250" s="11" t="inlineStr"/>
      <c r="M250" s="11" t="inlineStr">
        <is>
          <t>System Design/Design-ChatGPT.md</t>
        </is>
      </c>
      <c r="N250" s="11" t="inlineStr">
        <is>
          <t>No</t>
        </is>
      </c>
      <c r="O250" s="11" t="inlineStr"/>
    </row>
    <row r="251">
      <c r="A251" s="11" t="inlineStr">
        <is>
          <t>System Design</t>
        </is>
      </c>
      <c r="B251" s="11" t="inlineStr">
        <is>
          <t>ChatGPT</t>
        </is>
      </c>
      <c r="C251" s="11" t="inlineStr">
        <is>
          <t>System Design</t>
        </is>
      </c>
      <c r="D251" s="11" t="n">
        <v>2</v>
      </c>
      <c r="E251" s="11" t="inlineStr">
        <is>
          <t>OWASP LLM Top 10</t>
        </is>
      </c>
      <c r="F251" s="12" t="inlineStr">
        <is>
          <t>https://owasp.org/www-project-top-10-for-large-language-model-applications/</t>
        </is>
      </c>
      <c r="G251" s="12">
        <f>IF(F251="","",HYPERLINK(F251,"Open link"))</f>
        <v/>
      </c>
      <c r="H251" s="12">
        <f>IF(M251="","",IF(Config!$B$6="GitHub",HYPERLINK(Config!$B$5&amp;M251,"Open parent doc"),HYPERLINK("file://"&amp;Config!$B$4&amp;M251,"Open parent doc")))</f>
        <v/>
      </c>
      <c r="I251" s="11" t="inlineStr">
        <is>
          <t>Safety requirements</t>
        </is>
      </c>
      <c r="J251" s="11" t="inlineStr"/>
      <c r="K251" s="11" t="inlineStr"/>
      <c r="L251" s="11" t="inlineStr"/>
      <c r="M251" s="11" t="inlineStr">
        <is>
          <t>System Design/Design-ChatGPT.md</t>
        </is>
      </c>
      <c r="N251" s="11" t="inlineStr">
        <is>
          <t>No</t>
        </is>
      </c>
      <c r="O251" s="11" t="inlineStr"/>
    </row>
    <row r="252">
      <c r="A252" s="11" t="inlineStr">
        <is>
          <t>System Design</t>
        </is>
      </c>
      <c r="B252" s="11" t="inlineStr">
        <is>
          <t>ChatGPT</t>
        </is>
      </c>
      <c r="C252" s="11" t="inlineStr">
        <is>
          <t>System Design</t>
        </is>
      </c>
      <c r="D252" s="11" t="n">
        <v>3</v>
      </c>
      <c r="E252" s="11" t="inlineStr">
        <is>
          <t>LangGraph HITL / persistence</t>
        </is>
      </c>
      <c r="F252" s="12" t="inlineStr">
        <is>
          <t>https://langchain-ai.github.io/langgraph/concepts/high_level/</t>
        </is>
      </c>
      <c r="G252" s="12">
        <f>IF(F252="","",HYPERLINK(F252,"Open link"))</f>
        <v/>
      </c>
      <c r="H252" s="12">
        <f>IF(M252="","",IF(Config!$B$6="GitHub",HYPERLINK(Config!$B$5&amp;M252,"Open parent doc"),HYPERLINK("file://"&amp;Config!$B$4&amp;M252,"Open parent doc")))</f>
        <v/>
      </c>
      <c r="I252" s="11" t="inlineStr">
        <is>
          <t>Stateful orchestration patterns</t>
        </is>
      </c>
      <c r="J252" s="11" t="inlineStr"/>
      <c r="K252" s="11" t="inlineStr"/>
      <c r="L252" s="11" t="inlineStr"/>
      <c r="M252" s="11" t="inlineStr">
        <is>
          <t>System Design/Design-ChatGPT.md</t>
        </is>
      </c>
      <c r="N252" s="11" t="inlineStr">
        <is>
          <t>No</t>
        </is>
      </c>
      <c r="O252" s="11" t="inlineStr"/>
    </row>
    <row r="253">
      <c r="A253" s="11" t="inlineStr">
        <is>
          <t>System Design</t>
        </is>
      </c>
      <c r="B253" s="11" t="inlineStr">
        <is>
          <t>ChatGPT</t>
        </is>
      </c>
      <c r="C253" s="11" t="inlineStr">
        <is>
          <t>System Design</t>
        </is>
      </c>
      <c r="D253" s="11" t="n">
        <v>4</v>
      </c>
      <c r="E253" s="11" t="inlineStr">
        <is>
          <t>ReAct paper</t>
        </is>
      </c>
      <c r="F253" s="12" t="inlineStr">
        <is>
          <t>https://arxiv.org/abs/2210.03629</t>
        </is>
      </c>
      <c r="G253" s="12">
        <f>IF(F253="","",HYPERLINK(F253,"Open link"))</f>
        <v/>
      </c>
      <c r="H253" s="12">
        <f>IF(M253="","",IF(Config!$B$6="GitHub",HYPERLINK(Config!$B$5&amp;M253,"Open parent doc"),HYPERLINK("file://"&amp;Config!$B$4&amp;M253,"Open parent doc")))</f>
        <v/>
      </c>
      <c r="I253" s="11" t="inlineStr">
        <is>
          <t>Tool-loop reasoning</t>
        </is>
      </c>
      <c r="J253" s="11" t="inlineStr"/>
      <c r="K253" s="11" t="inlineStr"/>
      <c r="L253" s="11" t="inlineStr"/>
      <c r="M253" s="11" t="inlineStr">
        <is>
          <t>System Design/Design-ChatGPT.md</t>
        </is>
      </c>
      <c r="N253" s="11" t="inlineStr">
        <is>
          <t>No</t>
        </is>
      </c>
      <c r="O253" s="11" t="inlineStr"/>
    </row>
    <row r="254">
      <c r="A254" s="11" t="inlineStr">
        <is>
          <t>System Design</t>
        </is>
      </c>
      <c r="B254" s="11" t="inlineStr">
        <is>
          <t>Claude</t>
        </is>
      </c>
      <c r="C254" s="11" t="inlineStr">
        <is>
          <t>System Design</t>
        </is>
      </c>
      <c r="D254" s="11" t="n">
        <v>1</v>
      </c>
      <c r="E254" s="11" t="inlineStr">
        <is>
          <t>Constitutional AI paper</t>
        </is>
      </c>
      <c r="F254" s="12" t="inlineStr">
        <is>
          <t>https://arxiv.org/abs/2212.08073</t>
        </is>
      </c>
      <c r="G254" s="12">
        <f>IF(F254="","",HYPERLINK(F254,"Open link"))</f>
        <v/>
      </c>
      <c r="H254" s="12">
        <f>IF(M254="","",IF(Config!$B$6="GitHub",HYPERLINK(Config!$B$5&amp;M254,"Open parent doc"),HYPERLINK("file://"&amp;Config!$B$4&amp;M254,"Open parent doc")))</f>
        <v/>
      </c>
      <c r="I254" s="11" t="inlineStr">
        <is>
          <t>Core alignment approach</t>
        </is>
      </c>
      <c r="J254" s="11" t="inlineStr"/>
      <c r="K254" s="11" t="inlineStr"/>
      <c r="L254" s="11" t="inlineStr"/>
      <c r="M254" s="11" t="inlineStr">
        <is>
          <t>System Design/Design-Claude.md</t>
        </is>
      </c>
      <c r="N254" s="11" t="inlineStr">
        <is>
          <t>No</t>
        </is>
      </c>
      <c r="O254" s="11" t="inlineStr"/>
    </row>
    <row r="255">
      <c r="A255" s="11" t="inlineStr">
        <is>
          <t>System Design</t>
        </is>
      </c>
      <c r="B255" s="11" t="inlineStr">
        <is>
          <t>Claude</t>
        </is>
      </c>
      <c r="C255" s="11" t="inlineStr">
        <is>
          <t>System Design</t>
        </is>
      </c>
      <c r="D255" s="11" t="n">
        <v>2</v>
      </c>
      <c r="E255" s="11" t="inlineStr">
        <is>
          <t>Anthropic Messages API</t>
        </is>
      </c>
      <c r="F255" s="12" t="inlineStr">
        <is>
          <t>https://docs.anthropic.com/en/api/messages</t>
        </is>
      </c>
      <c r="G255" s="12">
        <f>IF(F255="","",HYPERLINK(F255,"Open link"))</f>
        <v/>
      </c>
      <c r="H255" s="12">
        <f>IF(M255="","",IF(Config!$B$6="GitHub",HYPERLINK(Config!$B$5&amp;M255,"Open parent doc"),HYPERLINK("file://"&amp;Config!$B$4&amp;M255,"Open parent doc")))</f>
        <v/>
      </c>
      <c r="I255" s="11" t="inlineStr">
        <is>
          <t>Real API shapes, streaming, tools</t>
        </is>
      </c>
      <c r="J255" s="11" t="inlineStr"/>
      <c r="K255" s="11" t="inlineStr"/>
      <c r="L255" s="11" t="inlineStr"/>
      <c r="M255" s="11" t="inlineStr">
        <is>
          <t>System Design/Design-Claude.md</t>
        </is>
      </c>
      <c r="N255" s="11" t="inlineStr">
        <is>
          <t>No</t>
        </is>
      </c>
      <c r="O255" s="11" t="inlineStr"/>
    </row>
    <row r="256">
      <c r="A256" s="11" t="inlineStr">
        <is>
          <t>System Design</t>
        </is>
      </c>
      <c r="B256" s="11" t="inlineStr">
        <is>
          <t>Claude</t>
        </is>
      </c>
      <c r="C256" s="11" t="inlineStr">
        <is>
          <t>System Design</t>
        </is>
      </c>
      <c r="D256" s="11" t="n">
        <v>3</v>
      </c>
      <c r="E256" s="11" t="inlineStr">
        <is>
          <t>Prompt caching docs</t>
        </is>
      </c>
      <c r="F256" s="12" t="inlineStr">
        <is>
          <t>https://docs.anthropic.com/en/docs/build-with-claude/prompt-caching</t>
        </is>
      </c>
      <c r="G256" s="12">
        <f>IF(F256="","",HYPERLINK(F256,"Open link"))</f>
        <v/>
      </c>
      <c r="H256" s="12">
        <f>IF(M256="","",IF(Config!$B$6="GitHub",HYPERLINK(Config!$B$5&amp;M256,"Open parent doc"),HYPERLINK("file://"&amp;Config!$B$4&amp;M256,"Open parent doc")))</f>
        <v/>
      </c>
      <c r="I256" s="11" t="inlineStr">
        <is>
          <t>Cost/latency architecture</t>
        </is>
      </c>
      <c r="J256" s="11" t="inlineStr"/>
      <c r="K256" s="11" t="inlineStr"/>
      <c r="L256" s="11" t="inlineStr"/>
      <c r="M256" s="11" t="inlineStr">
        <is>
          <t>System Design/Design-Claude.md</t>
        </is>
      </c>
      <c r="N256" s="11" t="inlineStr">
        <is>
          <t>No</t>
        </is>
      </c>
      <c r="O256" s="11" t="inlineStr"/>
    </row>
    <row r="257">
      <c r="A257" s="11" t="inlineStr">
        <is>
          <t>System Design</t>
        </is>
      </c>
      <c r="B257" s="11" t="inlineStr">
        <is>
          <t>Claude</t>
        </is>
      </c>
      <c r="C257" s="11" t="inlineStr">
        <is>
          <t>System Design</t>
        </is>
      </c>
      <c r="D257" s="11" t="n">
        <v>4</v>
      </c>
      <c r="E257" s="11" t="inlineStr">
        <is>
          <t>Model Context Protocol</t>
        </is>
      </c>
      <c r="F257" s="12" t="inlineStr">
        <is>
          <t>https://modelcontextprotocol.io/</t>
        </is>
      </c>
      <c r="G257" s="12">
        <f>IF(F257="","",HYPERLINK(F257,"Open link"))</f>
        <v/>
      </c>
      <c r="H257" s="12">
        <f>IF(M257="","",IF(Config!$B$6="GitHub",HYPERLINK(Config!$B$5&amp;M257,"Open parent doc"),HYPERLINK("file://"&amp;Config!$B$4&amp;M257,"Open parent doc")))</f>
        <v/>
      </c>
      <c r="I257" s="11" t="inlineStr">
        <is>
          <t>Tool server standard</t>
        </is>
      </c>
      <c r="J257" s="11" t="inlineStr"/>
      <c r="K257" s="11" t="inlineStr"/>
      <c r="L257" s="11" t="inlineStr"/>
      <c r="M257" s="11" t="inlineStr">
        <is>
          <t>System Design/Design-Claude.md</t>
        </is>
      </c>
      <c r="N257" s="11" t="inlineStr">
        <is>
          <t>No</t>
        </is>
      </c>
      <c r="O257" s="11" t="inlineStr"/>
    </row>
    <row r="258">
      <c r="A258" s="11" t="inlineStr">
        <is>
          <t>System Design</t>
        </is>
      </c>
      <c r="B258" s="11" t="inlineStr">
        <is>
          <t>Claude</t>
        </is>
      </c>
      <c r="C258" s="11" t="inlineStr">
        <is>
          <t>System Design</t>
        </is>
      </c>
      <c r="D258" s="11" t="n">
        <v>5</v>
      </c>
      <c r="E258" s="11" t="inlineStr">
        <is>
          <t>OWASP LLM Top 10</t>
        </is>
      </c>
      <c r="F258" s="12" t="inlineStr">
        <is>
          <t>https://owasp.org/www-project-top-10-for-large-language-model-applications/</t>
        </is>
      </c>
      <c r="G258" s="12">
        <f>IF(F258="","",HYPERLINK(F258,"Open link"))</f>
        <v/>
      </c>
      <c r="H258" s="12">
        <f>IF(M258="","",IF(Config!$B$6="GitHub",HYPERLINK(Config!$B$5&amp;M258,"Open parent doc"),HYPERLINK("file://"&amp;Config!$B$4&amp;M258,"Open parent doc")))</f>
        <v/>
      </c>
      <c r="I258" s="11" t="inlineStr">
        <is>
          <t>Security requirements</t>
        </is>
      </c>
      <c r="J258" s="11" t="inlineStr"/>
      <c r="K258" s="11" t="inlineStr"/>
      <c r="L258" s="11" t="inlineStr"/>
      <c r="M258" s="11" t="inlineStr">
        <is>
          <t>System Design/Design-Claude.md</t>
        </is>
      </c>
      <c r="N258" s="11" t="inlineStr">
        <is>
          <t>No</t>
        </is>
      </c>
      <c r="O258" s="11" t="inlineStr"/>
    </row>
    <row r="259">
      <c r="A259" s="11" t="inlineStr">
        <is>
          <t>System Design</t>
        </is>
      </c>
      <c r="B259" s="11" t="inlineStr">
        <is>
          <t>Claude</t>
        </is>
      </c>
      <c r="C259" s="11" t="inlineStr">
        <is>
          <t>System Design</t>
        </is>
      </c>
      <c r="D259" s="11" t="n">
        <v>6</v>
      </c>
      <c r="E259" s="11" t="inlineStr">
        <is>
          <t>ReAct paper</t>
        </is>
      </c>
      <c r="F259" s="12" t="inlineStr">
        <is>
          <t>https://arxiv.org/abs/2210.03629</t>
        </is>
      </c>
      <c r="G259" s="12">
        <f>IF(F259="","",HYPERLINK(F259,"Open link"))</f>
        <v/>
      </c>
      <c r="H259" s="12">
        <f>IF(M259="","",IF(Config!$B$6="GitHub",HYPERLINK(Config!$B$5&amp;M259,"Open parent doc"),HYPERLINK("file://"&amp;Config!$B$4&amp;M259,"Open parent doc")))</f>
        <v/>
      </c>
      <c r="I259" s="11" t="inlineStr">
        <is>
          <t>Tool-loop reasoning</t>
        </is>
      </c>
      <c r="J259" s="11" t="inlineStr"/>
      <c r="K259" s="11" t="inlineStr"/>
      <c r="L259" s="11" t="inlineStr"/>
      <c r="M259" s="11" t="inlineStr">
        <is>
          <t>System Design/Design-Claude.md</t>
        </is>
      </c>
      <c r="N259" s="11" t="inlineStr">
        <is>
          <t>No</t>
        </is>
      </c>
      <c r="O259" s="11" t="inlineStr"/>
    </row>
    <row r="260">
      <c r="A260" s="11" t="inlineStr">
        <is>
          <t>System Design</t>
        </is>
      </c>
      <c r="B260" s="11" t="inlineStr">
        <is>
          <t>Cursor</t>
        </is>
      </c>
      <c r="C260" s="11" t="inlineStr">
        <is>
          <t>System Design</t>
        </is>
      </c>
      <c r="D260" s="11" t="n">
        <v>1</v>
      </c>
      <c r="E260" s="11" t="inlineStr">
        <is>
          <t>Cursor Docs</t>
        </is>
      </c>
      <c r="F260" s="12" t="inlineStr">
        <is>
          <t>https://docs.cursor.com/</t>
        </is>
      </c>
      <c r="G260" s="12">
        <f>IF(F260="","",HYPERLINK(F260,"Open link"))</f>
        <v/>
      </c>
      <c r="H260" s="12">
        <f>IF(M260="","",IF(Config!$B$6="GitHub",HYPERLINK(Config!$B$5&amp;M260,"Open parent doc"),HYPERLINK("file://"&amp;Config!$B$4&amp;M260,"Open parent doc")))</f>
        <v/>
      </c>
      <c r="I260" s="11" t="inlineStr">
        <is>
          <t>Product capabilities, rules, privacy</t>
        </is>
      </c>
      <c r="J260" s="11" t="inlineStr"/>
      <c r="K260" s="11" t="inlineStr"/>
      <c r="L260" s="11" t="inlineStr"/>
      <c r="M260" s="11" t="inlineStr">
        <is>
          <t>System Design/Design-Cursor.md</t>
        </is>
      </c>
      <c r="N260" s="11" t="inlineStr">
        <is>
          <t>No</t>
        </is>
      </c>
      <c r="O260" s="11" t="inlineStr"/>
    </row>
    <row r="261">
      <c r="A261" s="11" t="inlineStr">
        <is>
          <t>System Design</t>
        </is>
      </c>
      <c r="B261" s="11" t="inlineStr">
        <is>
          <t>Cursor</t>
        </is>
      </c>
      <c r="C261" s="11" t="inlineStr">
        <is>
          <t>System Design</t>
        </is>
      </c>
      <c r="D261" s="11" t="n">
        <v>2</v>
      </c>
      <c r="E261" s="11" t="inlineStr">
        <is>
          <t>Model Context Protocol</t>
        </is>
      </c>
      <c r="F261" s="12" t="inlineStr">
        <is>
          <t>https://modelcontextprotocol.io/</t>
        </is>
      </c>
      <c r="G261" s="12">
        <f>IF(F261="","",HYPERLINK(F261,"Open link"))</f>
        <v/>
      </c>
      <c r="H261" s="12">
        <f>IF(M261="","",IF(Config!$B$6="GitHub",HYPERLINK(Config!$B$5&amp;M261,"Open parent doc"),HYPERLINK("file://"&amp;Config!$B$4&amp;M261,"Open parent doc")))</f>
        <v/>
      </c>
      <c r="I261" s="11" t="inlineStr">
        <is>
          <t>Tool server integration pattern</t>
        </is>
      </c>
      <c r="J261" s="11" t="inlineStr"/>
      <c r="K261" s="11" t="inlineStr"/>
      <c r="L261" s="11" t="inlineStr"/>
      <c r="M261" s="11" t="inlineStr">
        <is>
          <t>System Design/Design-Cursor.md</t>
        </is>
      </c>
      <c r="N261" s="11" t="inlineStr">
        <is>
          <t>No</t>
        </is>
      </c>
      <c r="O261" s="11" t="inlineStr"/>
    </row>
    <row r="262">
      <c r="A262" s="11" t="inlineStr">
        <is>
          <t>System Design</t>
        </is>
      </c>
      <c r="B262" s="11" t="inlineStr">
        <is>
          <t>Cursor</t>
        </is>
      </c>
      <c r="C262" s="11" t="inlineStr">
        <is>
          <t>System Design</t>
        </is>
      </c>
      <c r="D262" s="11" t="n">
        <v>3</v>
      </c>
      <c r="E262" s="11" t="inlineStr">
        <is>
          <t>ReAct paper</t>
        </is>
      </c>
      <c r="F262" s="12" t="inlineStr">
        <is>
          <t>https://arxiv.org/abs/2210.03629</t>
        </is>
      </c>
      <c r="G262" s="12">
        <f>IF(F262="","",HYPERLINK(F262,"Open link"))</f>
        <v/>
      </c>
      <c r="H262" s="12">
        <f>IF(M262="","",IF(Config!$B$6="GitHub",HYPERLINK(Config!$B$5&amp;M262,"Open parent doc"),HYPERLINK("file://"&amp;Config!$B$4&amp;M262,"Open parent doc")))</f>
        <v/>
      </c>
      <c r="I262" s="11" t="inlineStr">
        <is>
          <t>Agent tool loop</t>
        </is>
      </c>
      <c r="J262" s="11" t="inlineStr"/>
      <c r="K262" s="11" t="inlineStr"/>
      <c r="L262" s="11" t="inlineStr"/>
      <c r="M262" s="11" t="inlineStr">
        <is>
          <t>System Design/Design-Cursor.md</t>
        </is>
      </c>
      <c r="N262" s="11" t="inlineStr">
        <is>
          <t>No</t>
        </is>
      </c>
      <c r="O262" s="11" t="inlineStr"/>
    </row>
    <row r="263">
      <c r="A263" s="11" t="inlineStr">
        <is>
          <t>System Design</t>
        </is>
      </c>
      <c r="B263" s="11" t="inlineStr">
        <is>
          <t>Cursor</t>
        </is>
      </c>
      <c r="C263" s="11" t="inlineStr">
        <is>
          <t>System Design</t>
        </is>
      </c>
      <c r="D263" s="11" t="n">
        <v>4</v>
      </c>
      <c r="E263" s="11" t="inlineStr">
        <is>
          <t>RAG survey</t>
        </is>
      </c>
      <c r="F263" s="12" t="inlineStr">
        <is>
          <t>https://arxiv.org/abs/2312.10997</t>
        </is>
      </c>
      <c r="G263" s="12">
        <f>IF(F263="","",HYPERLINK(F263,"Open link"))</f>
        <v/>
      </c>
      <c r="H263" s="12">
        <f>IF(M263="","",IF(Config!$B$6="GitHub",HYPERLINK(Config!$B$5&amp;M263,"Open parent doc"),HYPERLINK("file://"&amp;Config!$B$4&amp;M263,"Open parent doc")))</f>
        <v/>
      </c>
      <c r="I263" s="11" t="inlineStr">
        <is>
          <t>Retrieval architecture baseline</t>
        </is>
      </c>
      <c r="J263" s="11" t="inlineStr"/>
      <c r="K263" s="11" t="inlineStr"/>
      <c r="L263" s="11" t="inlineStr"/>
      <c r="M263" s="11" t="inlineStr">
        <is>
          <t>System Design/Design-Cursor.md</t>
        </is>
      </c>
      <c r="N263" s="11" t="inlineStr">
        <is>
          <t>No</t>
        </is>
      </c>
      <c r="O263" s="11" t="inlineStr"/>
    </row>
    <row r="264">
      <c r="A264" s="11" t="inlineStr">
        <is>
          <t>System Design</t>
        </is>
      </c>
      <c r="B264" s="11" t="inlineStr">
        <is>
          <t>Cursor</t>
        </is>
      </c>
      <c r="C264" s="11" t="inlineStr">
        <is>
          <t>System Design</t>
        </is>
      </c>
      <c r="D264" s="11" t="n">
        <v>5</v>
      </c>
      <c r="E264" s="11" t="inlineStr">
        <is>
          <t>VS Code Extension API</t>
        </is>
      </c>
      <c r="F264" s="12" t="inlineStr">
        <is>
          <t>https://code.visualstudio.com/api</t>
        </is>
      </c>
      <c r="G264" s="12">
        <f>IF(F264="","",HYPERLINK(F264,"Open link"))</f>
        <v/>
      </c>
      <c r="H264" s="12">
        <f>IF(M264="","",IF(Config!$B$6="GitHub",HYPERLINK(Config!$B$5&amp;M264,"Open parent doc"),HYPERLINK("file://"&amp;Config!$B$4&amp;M264,"Open parent doc")))</f>
        <v/>
      </c>
      <c r="I264" s="11" t="inlineStr">
        <is>
          <t>IDE integration constraints</t>
        </is>
      </c>
      <c r="J264" s="11" t="inlineStr"/>
      <c r="K264" s="11" t="inlineStr"/>
      <c r="L264" s="11" t="inlineStr"/>
      <c r="M264" s="11" t="inlineStr">
        <is>
          <t>System Design/Design-Cursor.md</t>
        </is>
      </c>
      <c r="N264" s="11" t="inlineStr">
        <is>
          <t>No</t>
        </is>
      </c>
      <c r="O264" s="11" t="inlineStr"/>
    </row>
    <row r="265">
      <c r="A265" s="11" t="inlineStr">
        <is>
          <t>System Design</t>
        </is>
      </c>
      <c r="B265" s="11" t="inlineStr">
        <is>
          <t>Cursor</t>
        </is>
      </c>
      <c r="C265" s="11" t="inlineStr">
        <is>
          <t>System Design</t>
        </is>
      </c>
      <c r="D265" s="11" t="n">
        <v>6</v>
      </c>
      <c r="E265" s="11" t="inlineStr">
        <is>
          <t>Tree-sitter</t>
        </is>
      </c>
      <c r="F265" s="12" t="inlineStr">
        <is>
          <t>https://tree-sitter.github.io/tree-sitter/</t>
        </is>
      </c>
      <c r="G265" s="12">
        <f>IF(F265="","",HYPERLINK(F265,"Open link"))</f>
        <v/>
      </c>
      <c r="H265" s="12">
        <f>IF(M265="","",IF(Config!$B$6="GitHub",HYPERLINK(Config!$B$5&amp;M265,"Open parent doc"),HYPERLINK("file://"&amp;Config!$B$4&amp;M265,"Open parent doc")))</f>
        <v/>
      </c>
      <c r="I265" s="11" t="inlineStr">
        <is>
          <t>AST-aware parsing for chunking</t>
        </is>
      </c>
      <c r="J265" s="11" t="inlineStr"/>
      <c r="K265" s="11" t="inlineStr"/>
      <c r="L265" s="11" t="inlineStr"/>
      <c r="M265" s="11" t="inlineStr">
        <is>
          <t>System Design/Design-Cursor.md</t>
        </is>
      </c>
      <c r="N265" s="11" t="inlineStr">
        <is>
          <t>No</t>
        </is>
      </c>
      <c r="O265" s="11" t="inlineStr"/>
    </row>
    <row r="266">
      <c r="A266" s="11" t="inlineStr">
        <is>
          <t>System Design</t>
        </is>
      </c>
      <c r="B266" s="11" t="inlineStr">
        <is>
          <t>GitHub-Copilot</t>
        </is>
      </c>
      <c r="C266" s="11" t="inlineStr">
        <is>
          <t>System Design</t>
        </is>
      </c>
      <c r="D266" s="11" t="n">
        <v>1</v>
      </c>
      <c r="E266" s="11" t="inlineStr">
        <is>
          <t>GitHub Copilot Docs</t>
        </is>
      </c>
      <c r="F266" s="12" t="inlineStr">
        <is>
          <t>https://docs.github.com/en/copilot</t>
        </is>
      </c>
      <c r="G266" s="12">
        <f>IF(F266="","",HYPERLINK(F266,"Open link"))</f>
        <v/>
      </c>
      <c r="H266" s="12">
        <f>IF(M266="","",IF(Config!$B$6="GitHub",HYPERLINK(Config!$B$5&amp;M266,"Open parent doc"),HYPERLINK("file://"&amp;Config!$B$4&amp;M266,"Open parent doc")))</f>
        <v/>
      </c>
      <c r="I266" s="11" t="inlineStr">
        <is>
          <t>Product surfaces, policies</t>
        </is>
      </c>
      <c r="J266" s="11" t="inlineStr"/>
      <c r="K266" s="11" t="inlineStr"/>
      <c r="L266" s="11" t="inlineStr"/>
      <c r="M266" s="11" t="inlineStr">
        <is>
          <t>System Design/Design-GitHub-Copilot.md</t>
        </is>
      </c>
      <c r="N266" s="11" t="inlineStr">
        <is>
          <t>No</t>
        </is>
      </c>
      <c r="O266" s="11" t="inlineStr"/>
    </row>
    <row r="267">
      <c r="A267" s="11" t="inlineStr">
        <is>
          <t>System Design</t>
        </is>
      </c>
      <c r="B267" s="11" t="inlineStr">
        <is>
          <t>GitHub-Copilot</t>
        </is>
      </c>
      <c r="C267" s="11" t="inlineStr">
        <is>
          <t>System Design</t>
        </is>
      </c>
      <c r="D267" s="11" t="n">
        <v>2</v>
      </c>
      <c r="E267" s="11" t="inlineStr">
        <is>
          <t>InCoder (FIM) paper</t>
        </is>
      </c>
      <c r="F267" s="12" t="inlineStr">
        <is>
          <t>https://arxiv.org/abs/2204.05999</t>
        </is>
      </c>
      <c r="G267" s="12">
        <f>IF(F267="","",HYPERLINK(F267,"Open link"))</f>
        <v/>
      </c>
      <c r="H267" s="12">
        <f>IF(M267="","",IF(Config!$B$6="GitHub",HYPERLINK(Config!$B$5&amp;M267,"Open parent doc"),HYPERLINK("file://"&amp;Config!$B$4&amp;M267,"Open parent doc")))</f>
        <v/>
      </c>
      <c r="I267" s="11" t="inlineStr">
        <is>
          <t>Fill-in-the-middle foundation</t>
        </is>
      </c>
      <c r="J267" s="11" t="inlineStr"/>
      <c r="K267" s="11" t="inlineStr"/>
      <c r="L267" s="11" t="inlineStr"/>
      <c r="M267" s="11" t="inlineStr">
        <is>
          <t>System Design/Design-GitHub-Copilot.md</t>
        </is>
      </c>
      <c r="N267" s="11" t="inlineStr">
        <is>
          <t>No</t>
        </is>
      </c>
      <c r="O267" s="11" t="inlineStr"/>
    </row>
    <row r="268">
      <c r="A268" s="11" t="inlineStr">
        <is>
          <t>System Design</t>
        </is>
      </c>
      <c r="B268" s="11" t="inlineStr">
        <is>
          <t>GitHub-Copilot</t>
        </is>
      </c>
      <c r="C268" s="11" t="inlineStr">
        <is>
          <t>System Design</t>
        </is>
      </c>
      <c r="D268" s="11" t="n">
        <v>3</v>
      </c>
      <c r="E268" s="11" t="inlineStr">
        <is>
          <t>Code Llama paper</t>
        </is>
      </c>
      <c r="F268" s="12" t="inlineStr">
        <is>
          <t>https://arxiv.org/abs/2308.12950</t>
        </is>
      </c>
      <c r="G268" s="12">
        <f>IF(F268="","",HYPERLINK(F268,"Open link"))</f>
        <v/>
      </c>
      <c r="H268" s="12">
        <f>IF(M268="","",IF(Config!$B$6="GitHub",HYPERLINK(Config!$B$5&amp;M268,"Open parent doc"),HYPERLINK("file://"&amp;Config!$B$4&amp;M268,"Open parent doc")))</f>
        <v/>
      </c>
      <c r="I268" s="11" t="inlineStr">
        <is>
          <t>FIM-capable code models</t>
        </is>
      </c>
      <c r="J268" s="11" t="inlineStr"/>
      <c r="K268" s="11" t="inlineStr"/>
      <c r="L268" s="11" t="inlineStr"/>
      <c r="M268" s="11" t="inlineStr">
        <is>
          <t>System Design/Design-GitHub-Copilot.md</t>
        </is>
      </c>
      <c r="N268" s="11" t="inlineStr">
        <is>
          <t>No</t>
        </is>
      </c>
      <c r="O268" s="11" t="inlineStr"/>
    </row>
    <row r="269">
      <c r="A269" s="11" t="inlineStr">
        <is>
          <t>System Design</t>
        </is>
      </c>
      <c r="B269" s="11" t="inlineStr">
        <is>
          <t>GitHub-Copilot</t>
        </is>
      </c>
      <c r="C269" s="11" t="inlineStr">
        <is>
          <t>System Design</t>
        </is>
      </c>
      <c r="D269" s="11" t="n">
        <v>4</v>
      </c>
      <c r="E269" s="11" t="inlineStr">
        <is>
          <t>vLLM PagedAttention</t>
        </is>
      </c>
      <c r="F269" s="12" t="inlineStr">
        <is>
          <t>https://arxiv.org/abs/2309.06180</t>
        </is>
      </c>
      <c r="G269" s="12">
        <f>IF(F269="","",HYPERLINK(F269,"Open link"))</f>
        <v/>
      </c>
      <c r="H269" s="12">
        <f>IF(M269="","",IF(Config!$B$6="GitHub",HYPERLINK(Config!$B$5&amp;M269,"Open parent doc"),HYPERLINK("file://"&amp;Config!$B$4&amp;M269,"Open parent doc")))</f>
        <v/>
      </c>
      <c r="I269" s="11" t="inlineStr">
        <is>
          <t>Serving efficiency</t>
        </is>
      </c>
      <c r="J269" s="11" t="inlineStr"/>
      <c r="K269" s="11" t="inlineStr"/>
      <c r="L269" s="11" t="inlineStr"/>
      <c r="M269" s="11" t="inlineStr">
        <is>
          <t>System Design/Design-GitHub-Copilot.md</t>
        </is>
      </c>
      <c r="N269" s="11" t="inlineStr">
        <is>
          <t>No</t>
        </is>
      </c>
      <c r="O269" s="11" t="inlineStr"/>
    </row>
    <row r="270">
      <c r="A270" s="11" t="inlineStr">
        <is>
          <t>System Design</t>
        </is>
      </c>
      <c r="B270" s="11" t="inlineStr">
        <is>
          <t>GitHub-Copilot</t>
        </is>
      </c>
      <c r="C270" s="11" t="inlineStr">
        <is>
          <t>System Design</t>
        </is>
      </c>
      <c r="D270" s="11" t="n">
        <v>5</v>
      </c>
      <c r="E270" s="11" t="inlineStr">
        <is>
          <t>OpenAI FIM API patterns</t>
        </is>
      </c>
      <c r="F270" s="12" t="inlineStr">
        <is>
          <t>https://platform.openai.com/docs/guides/code-generation</t>
        </is>
      </c>
      <c r="G270" s="12">
        <f>IF(F270="","",HYPERLINK(F270,"Open link"))</f>
        <v/>
      </c>
      <c r="H270" s="12">
        <f>IF(M270="","",IF(Config!$B$6="GitHub",HYPERLINK(Config!$B$5&amp;M270,"Open parent doc"),HYPERLINK("file://"&amp;Config!$B$4&amp;M270,"Open parent doc")))</f>
        <v/>
      </c>
      <c r="I270" s="11" t="inlineStr">
        <is>
          <t>Industry FIM prompt shape</t>
        </is>
      </c>
      <c r="J270" s="11" t="inlineStr"/>
      <c r="K270" s="11" t="inlineStr"/>
      <c r="L270" s="11" t="inlineStr"/>
      <c r="M270" s="11" t="inlineStr">
        <is>
          <t>System Design/Design-GitHub-Copilot.md</t>
        </is>
      </c>
      <c r="N270" s="11" t="inlineStr">
        <is>
          <t>No</t>
        </is>
      </c>
      <c r="O270" s="11" t="inlineStr"/>
    </row>
    <row r="271">
      <c r="A271" s="11" t="inlineStr">
        <is>
          <t>System Design</t>
        </is>
      </c>
      <c r="B271" s="11" t="inlineStr">
        <is>
          <t>GitHub-Copilot</t>
        </is>
      </c>
      <c r="C271" s="11" t="inlineStr">
        <is>
          <t>System Design</t>
        </is>
      </c>
      <c r="D271" s="11" t="n">
        <v>6</v>
      </c>
      <c r="E271" s="11" t="inlineStr">
        <is>
          <t>OWASP LLM Top 10</t>
        </is>
      </c>
      <c r="F271" s="12" t="inlineStr">
        <is>
          <t>https://owasp.org/www-project-top-10-for-large-language-model-applications/</t>
        </is>
      </c>
      <c r="G271" s="12">
        <f>IF(F271="","",HYPERLINK(F271,"Open link"))</f>
        <v/>
      </c>
      <c r="H271" s="12">
        <f>IF(M271="","",IF(Config!$B$6="GitHub",HYPERLINK(Config!$B$5&amp;M271,"Open parent doc"),HYPERLINK("file://"&amp;Config!$B$4&amp;M271,"Open parent doc")))</f>
        <v/>
      </c>
      <c r="I271" s="11" t="inlineStr">
        <is>
          <t>Secret leakage risks</t>
        </is>
      </c>
      <c r="J271" s="11" t="inlineStr"/>
      <c r="K271" s="11" t="inlineStr"/>
      <c r="L271" s="11" t="inlineStr"/>
      <c r="M271" s="11" t="inlineStr">
        <is>
          <t>System Design/Design-GitHub-Copilot.md</t>
        </is>
      </c>
      <c r="N271" s="11" t="inlineStr">
        <is>
          <t>No</t>
        </is>
      </c>
      <c r="O271" s="11" t="inlineStr"/>
    </row>
    <row r="272">
      <c r="A272" s="11" t="inlineStr">
        <is>
          <t>System Design</t>
        </is>
      </c>
      <c r="B272" s="11" t="inlineStr">
        <is>
          <t>Multi-Agent-Workflow-Engine</t>
        </is>
      </c>
      <c r="C272" s="11" t="inlineStr">
        <is>
          <t>System Design</t>
        </is>
      </c>
      <c r="D272" s="11" t="n">
        <v>1</v>
      </c>
      <c r="E272" s="11" t="inlineStr">
        <is>
          <t>Temporal docs</t>
        </is>
      </c>
      <c r="F272" s="12" t="inlineStr">
        <is>
          <t>https://docs.temporal.io/</t>
        </is>
      </c>
      <c r="G272" s="12">
        <f>IF(F272="","",HYPERLINK(F272,"Open link"))</f>
        <v/>
      </c>
      <c r="H272" s="12">
        <f>IF(M272="","",IF(Config!$B$6="GitHub",HYPERLINK(Config!$B$5&amp;M272,"Open parent doc"),HYPERLINK("file://"&amp;Config!$B$4&amp;M272,"Open parent doc")))</f>
        <v/>
      </c>
      <c r="I272" s="11" t="inlineStr">
        <is>
          <t>Durable execution</t>
        </is>
      </c>
      <c r="J272" s="11" t="inlineStr"/>
      <c r="K272" s="11" t="inlineStr"/>
      <c r="L272" s="11" t="inlineStr"/>
      <c r="M272" s="11" t="inlineStr">
        <is>
          <t>System Design/Design-Multi-Agent-Workflow-Engine.md</t>
        </is>
      </c>
      <c r="N272" s="11" t="inlineStr">
        <is>
          <t>No</t>
        </is>
      </c>
      <c r="O272" s="11" t="inlineStr"/>
    </row>
    <row r="273">
      <c r="A273" s="11" t="inlineStr">
        <is>
          <t>System Design</t>
        </is>
      </c>
      <c r="B273" s="11" t="inlineStr">
        <is>
          <t>Multi-Agent-Workflow-Engine</t>
        </is>
      </c>
      <c r="C273" s="11" t="inlineStr">
        <is>
          <t>System Design</t>
        </is>
      </c>
      <c r="D273" s="11" t="n">
        <v>2</v>
      </c>
      <c r="E273" s="11" t="inlineStr">
        <is>
          <t>LangGraph</t>
        </is>
      </c>
      <c r="F273" s="12" t="inlineStr">
        <is>
          <t>https://langchain-ai.github.io/langgraph/</t>
        </is>
      </c>
      <c r="G273" s="12">
        <f>IF(F273="","",HYPERLINK(F273,"Open link"))</f>
        <v/>
      </c>
      <c r="H273" s="12">
        <f>IF(M273="","",IF(Config!$B$6="GitHub",HYPERLINK(Config!$B$5&amp;M273,"Open parent doc"),HYPERLINK("file://"&amp;Config!$B$4&amp;M273,"Open parent doc")))</f>
        <v/>
      </c>
      <c r="I273" s="11" t="inlineStr">
        <is>
          <t>Agent graph patterns</t>
        </is>
      </c>
      <c r="J273" s="11" t="inlineStr"/>
      <c r="K273" s="11" t="inlineStr"/>
      <c r="L273" s="11" t="inlineStr"/>
      <c r="M273" s="11" t="inlineStr">
        <is>
          <t>System Design/Design-Multi-Agent-Workflow-Engine.md</t>
        </is>
      </c>
      <c r="N273" s="11" t="inlineStr">
        <is>
          <t>No</t>
        </is>
      </c>
      <c r="O273" s="11" t="inlineStr"/>
    </row>
    <row r="274">
      <c r="A274" s="11" t="inlineStr">
        <is>
          <t>System Design</t>
        </is>
      </c>
      <c r="B274" s="11" t="inlineStr">
        <is>
          <t>Multi-Agent-Workflow-Engine</t>
        </is>
      </c>
      <c r="C274" s="11" t="inlineStr">
        <is>
          <t>System Design</t>
        </is>
      </c>
      <c r="D274" s="11" t="n">
        <v>3</v>
      </c>
      <c r="E274" s="11" t="inlineStr">
        <is>
          <t>Model Context Protocol</t>
        </is>
      </c>
      <c r="F274" s="12" t="inlineStr">
        <is>
          <t>https://modelcontextprotocol.io/</t>
        </is>
      </c>
      <c r="G274" s="12">
        <f>IF(F274="","",HYPERLINK(F274,"Open link"))</f>
        <v/>
      </c>
      <c r="H274" s="12">
        <f>IF(M274="","",IF(Config!$B$6="GitHub",HYPERLINK(Config!$B$5&amp;M274,"Open parent doc"),HYPERLINK("file://"&amp;Config!$B$4&amp;M274,"Open parent doc")))</f>
        <v/>
      </c>
      <c r="I274" s="11" t="inlineStr">
        <is>
          <t>MCP spec</t>
        </is>
      </c>
      <c r="J274" s="11" t="inlineStr"/>
      <c r="K274" s="11" t="inlineStr"/>
      <c r="L274" s="11" t="inlineStr"/>
      <c r="M274" s="11" t="inlineStr">
        <is>
          <t>System Design/Design-Multi-Agent-Workflow-Engine.md</t>
        </is>
      </c>
      <c r="N274" s="11" t="inlineStr">
        <is>
          <t>No</t>
        </is>
      </c>
      <c r="O274" s="11" t="inlineStr"/>
    </row>
    <row r="275">
      <c r="A275" s="11" t="inlineStr">
        <is>
          <t>System Design</t>
        </is>
      </c>
      <c r="B275" s="11" t="inlineStr">
        <is>
          <t>Multi-Agent-Workflow-Engine</t>
        </is>
      </c>
      <c r="C275" s="11" t="inlineStr">
        <is>
          <t>System Design</t>
        </is>
      </c>
      <c r="D275" s="11" t="n">
        <v>4</v>
      </c>
      <c r="E275" s="11" t="inlineStr">
        <is>
          <t>LangGraph persistence</t>
        </is>
      </c>
      <c r="F275" s="12" t="inlineStr">
        <is>
          <t>https://langchain-ai.github.io/langgraph/concepts/persistence/</t>
        </is>
      </c>
      <c r="G275" s="12">
        <f>IF(F275="","",HYPERLINK(F275,"Open link"))</f>
        <v/>
      </c>
      <c r="H275" s="12">
        <f>IF(M275="","",IF(Config!$B$6="GitHub",HYPERLINK(Config!$B$5&amp;M275,"Open parent doc"),HYPERLINK("file://"&amp;Config!$B$4&amp;M275,"Open parent doc")))</f>
        <v/>
      </c>
      <c r="I275" s="11" t="inlineStr">
        <is>
          <t>Checkpoint semantics</t>
        </is>
      </c>
      <c r="J275" s="11" t="inlineStr"/>
      <c r="K275" s="11" t="inlineStr"/>
      <c r="L275" s="11" t="inlineStr"/>
      <c r="M275" s="11" t="inlineStr">
        <is>
          <t>System Design/Design-Multi-Agent-Workflow-Engine.md</t>
        </is>
      </c>
      <c r="N275" s="11" t="inlineStr">
        <is>
          <t>No</t>
        </is>
      </c>
      <c r="O275" s="11" t="inlineStr"/>
    </row>
    <row r="276">
      <c r="A276" s="11" t="inlineStr">
        <is>
          <t>System Design</t>
        </is>
      </c>
      <c r="B276" s="11" t="inlineStr">
        <is>
          <t>Multi-Agent-Workflow-Engine</t>
        </is>
      </c>
      <c r="C276" s="11" t="inlineStr">
        <is>
          <t>System Design</t>
        </is>
      </c>
      <c r="D276" s="11" t="n">
        <v>5</v>
      </c>
      <c r="E276" s="11" t="inlineStr">
        <is>
          <t>OpenAI evals guide</t>
        </is>
      </c>
      <c r="F276" s="12" t="inlineStr">
        <is>
          <t>https://platform.openai.com/docs/guides/evals</t>
        </is>
      </c>
      <c r="G276" s="12">
        <f>IF(F276="","",HYPERLINK(F276,"Open link"))</f>
        <v/>
      </c>
      <c r="H276" s="12">
        <f>IF(M276="","",IF(Config!$B$6="GitHub",HYPERLINK(Config!$B$5&amp;M276,"Open parent doc"),HYPERLINK("file://"&amp;Config!$B$4&amp;M276,"Open parent doc")))</f>
        <v/>
      </c>
      <c r="I276" s="11" t="inlineStr">
        <is>
          <t>Eval harness design</t>
        </is>
      </c>
      <c r="J276" s="11" t="inlineStr"/>
      <c r="K276" s="11" t="inlineStr"/>
      <c r="L276" s="11" t="inlineStr"/>
      <c r="M276" s="11" t="inlineStr">
        <is>
          <t>System Design/Design-Multi-Agent-Workflow-Engine.md</t>
        </is>
      </c>
      <c r="N276" s="11" t="inlineStr">
        <is>
          <t>No</t>
        </is>
      </c>
      <c r="O276" s="11" t="inlineStr"/>
    </row>
    <row r="277">
      <c r="A277" s="11" t="inlineStr">
        <is>
          <t>System Design</t>
        </is>
      </c>
      <c r="B277" s="11" t="inlineStr">
        <is>
          <t>Notion-AI</t>
        </is>
      </c>
      <c r="C277" s="11" t="inlineStr">
        <is>
          <t>System Design</t>
        </is>
      </c>
      <c r="D277" s="11" t="n">
        <v>1</v>
      </c>
      <c r="E277" s="11" t="inlineStr">
        <is>
          <t>Notion API</t>
        </is>
      </c>
      <c r="F277" s="12" t="inlineStr">
        <is>
          <t>https://developers.notion.com/</t>
        </is>
      </c>
      <c r="G277" s="12">
        <f>IF(F277="","",HYPERLINK(F277,"Open link"))</f>
        <v/>
      </c>
      <c r="H277" s="12">
        <f>IF(M277="","",IF(Config!$B$6="GitHub",HYPERLINK(Config!$B$5&amp;M277,"Open parent doc"),HYPERLINK("file://"&amp;Config!$B$4&amp;M277,"Open parent doc")))</f>
        <v/>
      </c>
      <c r="I277" s="11" t="inlineStr">
        <is>
          <t>Blocks, permissions model</t>
        </is>
      </c>
      <c r="J277" s="11" t="inlineStr"/>
      <c r="K277" s="11" t="inlineStr"/>
      <c r="L277" s="11" t="inlineStr"/>
      <c r="M277" s="11" t="inlineStr">
        <is>
          <t>System Design/Design-Notion-AI.md</t>
        </is>
      </c>
      <c r="N277" s="11" t="inlineStr">
        <is>
          <t>No</t>
        </is>
      </c>
      <c r="O277" s="11" t="inlineStr"/>
    </row>
    <row r="278">
      <c r="A278" s="11" t="inlineStr">
        <is>
          <t>System Design</t>
        </is>
      </c>
      <c r="B278" s="11" t="inlineStr">
        <is>
          <t>Notion-AI</t>
        </is>
      </c>
      <c r="C278" s="11" t="inlineStr">
        <is>
          <t>System Design</t>
        </is>
      </c>
      <c r="D278" s="11" t="n">
        <v>2</v>
      </c>
      <c r="E278" s="11" t="inlineStr">
        <is>
          <t>Notion AI</t>
        </is>
      </c>
      <c r="F278" s="12" t="inlineStr">
        <is>
          <t>https://www.notion.com/product/ai</t>
        </is>
      </c>
      <c r="G278" s="12">
        <f>IF(F278="","",HYPERLINK(F278,"Open link"))</f>
        <v/>
      </c>
      <c r="H278" s="12">
        <f>IF(M278="","",IF(Config!$B$6="GitHub",HYPERLINK(Config!$B$5&amp;M278,"Open parent doc"),HYPERLINK("file://"&amp;Config!$B$4&amp;M278,"Open parent doc")))</f>
        <v/>
      </c>
      <c r="I278" s="11" t="inlineStr">
        <is>
          <t>Product surface area</t>
        </is>
      </c>
      <c r="J278" s="11" t="inlineStr"/>
      <c r="K278" s="11" t="inlineStr"/>
      <c r="L278" s="11" t="inlineStr"/>
      <c r="M278" s="11" t="inlineStr">
        <is>
          <t>System Design/Design-Notion-AI.md</t>
        </is>
      </c>
      <c r="N278" s="11" t="inlineStr">
        <is>
          <t>No</t>
        </is>
      </c>
      <c r="O278" s="11" t="inlineStr"/>
    </row>
    <row r="279">
      <c r="A279" s="11" t="inlineStr">
        <is>
          <t>System Design</t>
        </is>
      </c>
      <c r="B279" s="11" t="inlineStr">
        <is>
          <t>Notion-AI</t>
        </is>
      </c>
      <c r="C279" s="11" t="inlineStr">
        <is>
          <t>System Design</t>
        </is>
      </c>
      <c r="D279" s="11" t="n">
        <v>3</v>
      </c>
      <c r="E279" s="11" t="inlineStr">
        <is>
          <t>CRDTs (Shapiro et al.)</t>
        </is>
      </c>
      <c r="F279" s="12" t="inlineStr">
        <is>
          <t>https://arxiv.org/abs/1608.03960</t>
        </is>
      </c>
      <c r="G279" s="12">
        <f>IF(F279="","",HYPERLINK(F279,"Open link"))</f>
        <v/>
      </c>
      <c r="H279" s="12">
        <f>IF(M279="","",IF(Config!$B$6="GitHub",HYPERLINK(Config!$B$5&amp;M279,"Open parent doc"),HYPERLINK("file://"&amp;Config!$B$4&amp;M279,"Open parent doc")))</f>
        <v/>
      </c>
      <c r="I279" s="11" t="inlineStr">
        <is>
          <t>Block collaboration foundation</t>
        </is>
      </c>
      <c r="J279" s="11" t="inlineStr"/>
      <c r="K279" s="11" t="inlineStr"/>
      <c r="L279" s="11" t="inlineStr"/>
      <c r="M279" s="11" t="inlineStr">
        <is>
          <t>System Design/Design-Notion-AI.md</t>
        </is>
      </c>
      <c r="N279" s="11" t="inlineStr">
        <is>
          <t>No</t>
        </is>
      </c>
      <c r="O279" s="11" t="inlineStr"/>
    </row>
    <row r="280">
      <c r="A280" s="11" t="inlineStr">
        <is>
          <t>System Design</t>
        </is>
      </c>
      <c r="B280" s="11" t="inlineStr">
        <is>
          <t>Notion-AI</t>
        </is>
      </c>
      <c r="C280" s="11" t="inlineStr">
        <is>
          <t>System Design</t>
        </is>
      </c>
      <c r="D280" s="11" t="n">
        <v>4</v>
      </c>
      <c r="E280" s="11" t="inlineStr">
        <is>
          <t>Google Zanzibar</t>
        </is>
      </c>
      <c r="F280" s="12" t="inlineStr">
        <is>
          <t>https://research.google/pubs/pub48190/</t>
        </is>
      </c>
      <c r="G280" s="12">
        <f>IF(F280="","",HYPERLINK(F280,"Open link"))</f>
        <v/>
      </c>
      <c r="H280" s="12">
        <f>IF(M280="","",IF(Config!$B$6="GitHub",HYPERLINK(Config!$B$5&amp;M280,"Open parent doc"),HYPERLINK("file://"&amp;Config!$B$4&amp;M280,"Open parent doc")))</f>
        <v/>
      </c>
      <c r="I280" s="11" t="inlineStr">
        <is>
          <t>Enterprise ACL at scale</t>
        </is>
      </c>
      <c r="J280" s="11" t="inlineStr"/>
      <c r="K280" s="11" t="inlineStr"/>
      <c r="L280" s="11" t="inlineStr"/>
      <c r="M280" s="11" t="inlineStr">
        <is>
          <t>System Design/Design-Notion-AI.md</t>
        </is>
      </c>
      <c r="N280" s="11" t="inlineStr">
        <is>
          <t>No</t>
        </is>
      </c>
      <c r="O280" s="11" t="inlineStr"/>
    </row>
    <row r="281">
      <c r="A281" s="11" t="inlineStr">
        <is>
          <t>System Design</t>
        </is>
      </c>
      <c r="B281" s="11" t="inlineStr">
        <is>
          <t>Notion-AI</t>
        </is>
      </c>
      <c r="C281" s="11" t="inlineStr">
        <is>
          <t>System Design</t>
        </is>
      </c>
      <c r="D281" s="11" t="n">
        <v>5</v>
      </c>
      <c r="E281" s="11" t="inlineStr">
        <is>
          <t>OWASP LLM Top 10</t>
        </is>
      </c>
      <c r="F281" s="12" t="inlineStr">
        <is>
          <t>https://owasp.org/www-project-top-10-for-large-language-model-applications/</t>
        </is>
      </c>
      <c r="G281" s="12">
        <f>IF(F281="","",HYPERLINK(F281,"Open link"))</f>
        <v/>
      </c>
      <c r="H281" s="12">
        <f>IF(M281="","",IF(Config!$B$6="GitHub",HYPERLINK(Config!$B$5&amp;M281,"Open parent doc"),HYPERLINK("file://"&amp;Config!$B$4&amp;M281,"Open parent doc")))</f>
        <v/>
      </c>
      <c r="I281" s="11" t="inlineStr">
        <is>
          <t>Injection defenses</t>
        </is>
      </c>
      <c r="J281" s="11" t="inlineStr"/>
      <c r="K281" s="11" t="inlineStr"/>
      <c r="L281" s="11" t="inlineStr"/>
      <c r="M281" s="11" t="inlineStr">
        <is>
          <t>System Design/Design-Notion-AI.md</t>
        </is>
      </c>
      <c r="N281" s="11" t="inlineStr">
        <is>
          <t>No</t>
        </is>
      </c>
      <c r="O281" s="11" t="inlineStr"/>
    </row>
    <row r="282">
      <c r="A282" s="11" t="inlineStr">
        <is>
          <t>System Design</t>
        </is>
      </c>
      <c r="B282" s="11" t="inlineStr">
        <is>
          <t>Perplexity</t>
        </is>
      </c>
      <c r="C282" s="11" t="inlineStr">
        <is>
          <t>System Design</t>
        </is>
      </c>
      <c r="D282" s="11" t="n">
        <v>1</v>
      </c>
      <c r="E282" s="11" t="inlineStr">
        <is>
          <t>Perplexity API Docs</t>
        </is>
      </c>
      <c r="F282" s="12" t="inlineStr">
        <is>
          <t>https://docs.perplexity.ai/</t>
        </is>
      </c>
      <c r="G282" s="12">
        <f>IF(F282="","",HYPERLINK(F282,"Open link"))</f>
        <v/>
      </c>
      <c r="H282" s="12">
        <f>IF(M282="","",IF(Config!$B$6="GitHub",HYPERLINK(Config!$B$5&amp;M282,"Open parent doc"),HYPERLINK("file://"&amp;Config!$B$4&amp;M282,"Open parent doc")))</f>
        <v/>
      </c>
      <c r="I282" s="11" t="inlineStr">
        <is>
          <t>Real API modes and limits</t>
        </is>
      </c>
      <c r="J282" s="11" t="inlineStr"/>
      <c r="K282" s="11" t="inlineStr"/>
      <c r="L282" s="11" t="inlineStr"/>
      <c r="M282" s="11" t="inlineStr">
        <is>
          <t>System Design/Design-Perplexity.md</t>
        </is>
      </c>
      <c r="N282" s="11" t="inlineStr">
        <is>
          <t>No</t>
        </is>
      </c>
      <c r="O282" s="11" t="inlineStr"/>
    </row>
    <row r="283">
      <c r="A283" s="11" t="inlineStr">
        <is>
          <t>System Design</t>
        </is>
      </c>
      <c r="B283" s="11" t="inlineStr">
        <is>
          <t>Perplexity</t>
        </is>
      </c>
      <c r="C283" s="11" t="inlineStr">
        <is>
          <t>System Design</t>
        </is>
      </c>
      <c r="D283" s="11" t="n">
        <v>2</v>
      </c>
      <c r="E283" s="11" t="inlineStr">
        <is>
          <t>RAG paper (Lewis et al.)</t>
        </is>
      </c>
      <c r="F283" s="12" t="inlineStr">
        <is>
          <t>https://arxiv.org/abs/2005.11401</t>
        </is>
      </c>
      <c r="G283" s="12">
        <f>IF(F283="","",HYPERLINK(F283,"Open link"))</f>
        <v/>
      </c>
      <c r="H283" s="12">
        <f>IF(M283="","",IF(Config!$B$6="GitHub",HYPERLINK(Config!$B$5&amp;M283,"Open parent doc"),HYPERLINK("file://"&amp;Config!$B$4&amp;M283,"Open parent doc")))</f>
        <v/>
      </c>
      <c r="I283" s="11" t="inlineStr">
        <is>
          <t>Retrieve-then-generate foundation</t>
        </is>
      </c>
      <c r="J283" s="11" t="inlineStr"/>
      <c r="K283" s="11" t="inlineStr"/>
      <c r="L283" s="11" t="inlineStr"/>
      <c r="M283" s="11" t="inlineStr">
        <is>
          <t>System Design/Design-Perplexity.md</t>
        </is>
      </c>
      <c r="N283" s="11" t="inlineStr">
        <is>
          <t>No</t>
        </is>
      </c>
      <c r="O283" s="11" t="inlineStr"/>
    </row>
    <row r="284">
      <c r="A284" s="11" t="inlineStr">
        <is>
          <t>System Design</t>
        </is>
      </c>
      <c r="B284" s="11" t="inlineStr">
        <is>
          <t>Perplexity</t>
        </is>
      </c>
      <c r="C284" s="11" t="inlineStr">
        <is>
          <t>System Design</t>
        </is>
      </c>
      <c r="D284" s="11" t="n">
        <v>3</v>
      </c>
      <c r="E284" s="11" t="inlineStr">
        <is>
          <t>Self-RAG</t>
        </is>
      </c>
      <c r="F284" s="12" t="inlineStr">
        <is>
          <t>https://arxiv.org/abs/2310.11511</t>
        </is>
      </c>
      <c r="G284" s="12">
        <f>IF(F284="","",HYPERLINK(F284,"Open link"))</f>
        <v/>
      </c>
      <c r="H284" s="12">
        <f>IF(M284="","",IF(Config!$B$6="GitHub",HYPERLINK(Config!$B$5&amp;M284,"Open parent doc"),HYPERLINK("file://"&amp;Config!$B$4&amp;M284,"Open parent doc")))</f>
        <v/>
      </c>
      <c r="I284" s="11" t="inlineStr">
        <is>
          <t>Retrieval + critique tokens</t>
        </is>
      </c>
      <c r="J284" s="11" t="inlineStr"/>
      <c r="K284" s="11" t="inlineStr"/>
      <c r="L284" s="11" t="inlineStr"/>
      <c r="M284" s="11" t="inlineStr">
        <is>
          <t>System Design/Design-Perplexity.md</t>
        </is>
      </c>
      <c r="N284" s="11" t="inlineStr">
        <is>
          <t>No</t>
        </is>
      </c>
      <c r="O284" s="11" t="inlineStr"/>
    </row>
    <row r="285">
      <c r="A285" s="11" t="inlineStr">
        <is>
          <t>System Design</t>
        </is>
      </c>
      <c r="B285" s="11" t="inlineStr">
        <is>
          <t>Perplexity</t>
        </is>
      </c>
      <c r="C285" s="11" t="inlineStr">
        <is>
          <t>System Design</t>
        </is>
      </c>
      <c r="D285" s="11" t="n">
        <v>4</v>
      </c>
      <c r="E285" s="11" t="inlineStr">
        <is>
          <t>Bing Grounding (Azure)</t>
        </is>
      </c>
      <c r="F285" s="12" t="inlineStr">
        <is>
          <t>https://learn.microsoft.com/en-us/azure/ai-services/agents/how-to/tools/bing-grounding</t>
        </is>
      </c>
      <c r="G285" s="12">
        <f>IF(F285="","",HYPERLINK(F285,"Open link"))</f>
        <v/>
      </c>
      <c r="H285" s="12">
        <f>IF(M285="","",IF(Config!$B$6="GitHub",HYPERLINK(Config!$B$5&amp;M285,"Open parent doc"),HYPERLINK("file://"&amp;Config!$B$4&amp;M285,"Open parent doc")))</f>
        <v/>
      </c>
      <c r="I285" s="11" t="inlineStr">
        <is>
          <t>Industry grounding pattern</t>
        </is>
      </c>
      <c r="J285" s="11" t="inlineStr"/>
      <c r="K285" s="11" t="inlineStr"/>
      <c r="L285" s="11" t="inlineStr"/>
      <c r="M285" s="11" t="inlineStr">
        <is>
          <t>System Design/Design-Perplexity.md</t>
        </is>
      </c>
      <c r="N285" s="11" t="inlineStr">
        <is>
          <t>No</t>
        </is>
      </c>
      <c r="O285" s="11" t="inlineStr"/>
    </row>
    <row r="286">
      <c r="A286" s="11" t="inlineStr">
        <is>
          <t>System Design</t>
        </is>
      </c>
      <c r="B286" s="11" t="inlineStr">
        <is>
          <t>Perplexity</t>
        </is>
      </c>
      <c r="C286" s="11" t="inlineStr">
        <is>
          <t>System Design</t>
        </is>
      </c>
      <c r="D286" s="11" t="n">
        <v>5</v>
      </c>
      <c r="E286" s="11" t="inlineStr">
        <is>
          <t>FreshLLMs (freshness)</t>
        </is>
      </c>
      <c r="F286" s="12" t="inlineStr">
        <is>
          <t>https://arxiv.org/abs/2310.03214</t>
        </is>
      </c>
      <c r="G286" s="12">
        <f>IF(F286="","",HYPERLINK(F286,"Open link"))</f>
        <v/>
      </c>
      <c r="H286" s="12">
        <f>IF(M286="","",IF(Config!$B$6="GitHub",HYPERLINK(Config!$B$5&amp;M286,"Open parent doc"),HYPERLINK("file://"&amp;Config!$B$4&amp;M286,"Open parent doc")))</f>
        <v/>
      </c>
      <c r="I286" s="11" t="inlineStr">
        <is>
          <t>Stale source problem</t>
        </is>
      </c>
      <c r="J286" s="11" t="inlineStr"/>
      <c r="K286" s="11" t="inlineStr"/>
      <c r="L286" s="11" t="inlineStr"/>
      <c r="M286" s="11" t="inlineStr">
        <is>
          <t>System Design/Design-Perplexity.md</t>
        </is>
      </c>
      <c r="N286" s="11" t="inlineStr">
        <is>
          <t>No</t>
        </is>
      </c>
      <c r="O286" s="11" t="inlineStr"/>
    </row>
    <row r="287">
      <c r="A287" s="11" t="inlineStr">
        <is>
          <t>System Design</t>
        </is>
      </c>
      <c r="B287" s="11" t="inlineStr">
        <is>
          <t>Perplexity</t>
        </is>
      </c>
      <c r="C287" s="11" t="inlineStr">
        <is>
          <t>System Design</t>
        </is>
      </c>
      <c r="D287" s="11" t="n">
        <v>6</v>
      </c>
      <c r="E287" s="11" t="inlineStr">
        <is>
          <t>OWASP LLM Top 10</t>
        </is>
      </c>
      <c r="F287" s="12" t="inlineStr">
        <is>
          <t>https://owasp.org/www-project-top-10-for-large-language-model-applications/</t>
        </is>
      </c>
      <c r="G287" s="12">
        <f>IF(F287="","",HYPERLINK(F287,"Open link"))</f>
        <v/>
      </c>
      <c r="H287" s="12">
        <f>IF(M287="","",IF(Config!$B$6="GitHub",HYPERLINK(Config!$B$5&amp;M287,"Open parent doc"),HYPERLINK("file://"&amp;Config!$B$4&amp;M287,"Open parent doc")))</f>
        <v/>
      </c>
      <c r="I287" s="11" t="inlineStr">
        <is>
          <t>Injection via web content</t>
        </is>
      </c>
      <c r="J287" s="11" t="inlineStr"/>
      <c r="K287" s="11" t="inlineStr"/>
      <c r="L287" s="11" t="inlineStr"/>
      <c r="M287" s="11" t="inlineStr">
        <is>
          <t>System Design/Design-Perplexity.md</t>
        </is>
      </c>
      <c r="N287" s="11" t="inlineStr">
        <is>
          <t>No</t>
        </is>
      </c>
      <c r="O287" s="11" t="inlineStr"/>
    </row>
    <row r="288">
      <c r="A288" s="11" t="inlineStr">
        <is>
          <t>System Design</t>
        </is>
      </c>
      <c r="B288" s="11" t="inlineStr">
        <is>
          <t>Slack-AI</t>
        </is>
      </c>
      <c r="C288" s="11" t="inlineStr">
        <is>
          <t>System Design</t>
        </is>
      </c>
      <c r="D288" s="11" t="n">
        <v>1</v>
      </c>
      <c r="E288" s="11" t="inlineStr">
        <is>
          <t>Slack Platform Docs</t>
        </is>
      </c>
      <c r="F288" s="12" t="inlineStr">
        <is>
          <t>https://docs.slack.dev/</t>
        </is>
      </c>
      <c r="G288" s="12">
        <f>IF(F288="","",HYPERLINK(F288,"Open link"))</f>
        <v/>
      </c>
      <c r="H288" s="12">
        <f>IF(M288="","",IF(Config!$B$6="GitHub",HYPERLINK(Config!$B$5&amp;M288,"Open parent doc"),HYPERLINK("file://"&amp;Config!$B$4&amp;M288,"Open parent doc")))</f>
        <v/>
      </c>
      <c r="I288" s="11" t="inlineStr">
        <is>
          <t>Events, scopes, Enterprise Grid</t>
        </is>
      </c>
      <c r="J288" s="11" t="inlineStr"/>
      <c r="K288" s="11" t="inlineStr"/>
      <c r="L288" s="11" t="inlineStr"/>
      <c r="M288" s="11" t="inlineStr">
        <is>
          <t>System Design/Design-Slack-AI.md</t>
        </is>
      </c>
      <c r="N288" s="11" t="inlineStr">
        <is>
          <t>No</t>
        </is>
      </c>
      <c r="O288" s="11" t="inlineStr"/>
    </row>
    <row r="289">
      <c r="A289" s="11" t="inlineStr">
        <is>
          <t>System Design</t>
        </is>
      </c>
      <c r="B289" s="11" t="inlineStr">
        <is>
          <t>Slack-AI</t>
        </is>
      </c>
      <c r="C289" s="11" t="inlineStr">
        <is>
          <t>System Design</t>
        </is>
      </c>
      <c r="D289" s="11" t="n">
        <v>2</v>
      </c>
      <c r="E289" s="11" t="inlineStr">
        <is>
          <t>Slack AI (product)</t>
        </is>
      </c>
      <c r="F289" s="12" t="inlineStr">
        <is>
          <t>https://slack.com/features/ai</t>
        </is>
      </c>
      <c r="G289" s="12">
        <f>IF(F289="","",HYPERLINK(F289,"Open link"))</f>
        <v/>
      </c>
      <c r="H289" s="12">
        <f>IF(M289="","",IF(Config!$B$6="GitHub",HYPERLINK(Config!$B$5&amp;M289,"Open parent doc"),HYPERLINK("file://"&amp;Config!$B$4&amp;M289,"Open parent doc")))</f>
        <v/>
      </c>
      <c r="I289" s="11" t="inlineStr">
        <is>
          <t>Feature scope reference</t>
        </is>
      </c>
      <c r="J289" s="11" t="inlineStr"/>
      <c r="K289" s="11" t="inlineStr"/>
      <c r="L289" s="11" t="inlineStr"/>
      <c r="M289" s="11" t="inlineStr">
        <is>
          <t>System Design/Design-Slack-AI.md</t>
        </is>
      </c>
      <c r="N289" s="11" t="inlineStr">
        <is>
          <t>No</t>
        </is>
      </c>
      <c r="O289" s="11" t="inlineStr"/>
    </row>
    <row r="290">
      <c r="A290" s="11" t="inlineStr">
        <is>
          <t>System Design</t>
        </is>
      </c>
      <c r="B290" s="11" t="inlineStr">
        <is>
          <t>Slack-AI</t>
        </is>
      </c>
      <c r="C290" s="11" t="inlineStr">
        <is>
          <t>System Design</t>
        </is>
      </c>
      <c r="D290" s="11" t="n">
        <v>3</v>
      </c>
      <c r="E290" s="11" t="inlineStr">
        <is>
          <t>Microsoft Graph ACL patterns</t>
        </is>
      </c>
      <c r="F290" s="12" t="inlineStr">
        <is>
          <t>https://learn.microsoft.com/en-us/graph/permissions-reference</t>
        </is>
      </c>
      <c r="G290" s="12">
        <f>IF(F290="","",HYPERLINK(F290,"Open link"))</f>
        <v/>
      </c>
      <c r="H290" s="12">
        <f>IF(M290="","",IF(Config!$B$6="GitHub",HYPERLINK(Config!$B$5&amp;M290,"Open parent doc"),HYPERLINK("file://"&amp;Config!$B$4&amp;M290,"Open parent doc")))</f>
        <v/>
      </c>
      <c r="I290" s="11" t="inlineStr">
        <is>
          <t>Enterprise permission modeling</t>
        </is>
      </c>
      <c r="J290" s="11" t="inlineStr"/>
      <c r="K290" s="11" t="inlineStr"/>
      <c r="L290" s="11" t="inlineStr"/>
      <c r="M290" s="11" t="inlineStr">
        <is>
          <t>System Design/Design-Slack-AI.md</t>
        </is>
      </c>
      <c r="N290" s="11" t="inlineStr">
        <is>
          <t>No</t>
        </is>
      </c>
      <c r="O290" s="11" t="inlineStr"/>
    </row>
    <row r="291">
      <c r="A291" s="11" t="inlineStr">
        <is>
          <t>System Design</t>
        </is>
      </c>
      <c r="B291" s="11" t="inlineStr">
        <is>
          <t>Slack-AI</t>
        </is>
      </c>
      <c r="C291" s="11" t="inlineStr">
        <is>
          <t>System Design</t>
        </is>
      </c>
      <c r="D291" s="11" t="n">
        <v>4</v>
      </c>
      <c r="E291" s="11" t="inlineStr">
        <is>
          <t>OWASP LLM Top 10</t>
        </is>
      </c>
      <c r="F291" s="12" t="inlineStr">
        <is>
          <t>https://owasp.org/www-project-top-10-for-large-language-model-applications/</t>
        </is>
      </c>
      <c r="G291" s="12">
        <f>IF(F291="","",HYPERLINK(F291,"Open link"))</f>
        <v/>
      </c>
      <c r="H291" s="12">
        <f>IF(M291="","",IF(Config!$B$6="GitHub",HYPERLINK(Config!$B$5&amp;M291,"Open parent doc"),HYPERLINK("file://"&amp;Config!$B$4&amp;M291,"Open parent doc")))</f>
        <v/>
      </c>
      <c r="I291" s="11" t="inlineStr">
        <is>
          <t>Injection + excessive agency</t>
        </is>
      </c>
      <c r="J291" s="11" t="inlineStr"/>
      <c r="K291" s="11" t="inlineStr"/>
      <c r="L291" s="11" t="inlineStr"/>
      <c r="M291" s="11" t="inlineStr">
        <is>
          <t>System Design/Design-Slack-AI.md</t>
        </is>
      </c>
      <c r="N291" s="11" t="inlineStr">
        <is>
          <t>No</t>
        </is>
      </c>
      <c r="O291" s="11" t="inlineStr"/>
    </row>
    <row r="292">
      <c r="A292" s="11" t="inlineStr">
        <is>
          <t>System Design</t>
        </is>
      </c>
      <c r="B292" s="11" t="inlineStr">
        <is>
          <t>Slack-AI</t>
        </is>
      </c>
      <c r="C292" s="11" t="inlineStr">
        <is>
          <t>System Design</t>
        </is>
      </c>
      <c r="D292" s="11" t="n">
        <v>5</v>
      </c>
      <c r="E292" s="11" t="inlineStr">
        <is>
          <t>RAG with permissions (Azure AI Search)</t>
        </is>
      </c>
      <c r="F292" s="12" t="inlineStr">
        <is>
          <t>https://learn.microsoft.com/en-us/azure/search/search-security-trimming-for-azure-search</t>
        </is>
      </c>
      <c r="G292" s="12">
        <f>IF(F292="","",HYPERLINK(F292,"Open link"))</f>
        <v/>
      </c>
      <c r="H292" s="12">
        <f>IF(M292="","",IF(Config!$B$6="GitHub",HYPERLINK(Config!$B$5&amp;M292,"Open parent doc"),HYPERLINK("file://"&amp;Config!$B$4&amp;M292,"Open parent doc")))</f>
        <v/>
      </c>
      <c r="I292" s="11" t="inlineStr">
        <is>
          <t>Security trimming patterns</t>
        </is>
      </c>
      <c r="J292" s="11" t="inlineStr"/>
      <c r="K292" s="11" t="inlineStr"/>
      <c r="L292" s="11" t="inlineStr"/>
      <c r="M292" s="11" t="inlineStr">
        <is>
          <t>System Design/Design-Slack-AI.md</t>
        </is>
      </c>
      <c r="N292" s="11" t="inlineStr">
        <is>
          <t>No</t>
        </is>
      </c>
      <c r="O292" s="11" t="inlineStr"/>
    </row>
  </sheetData>
  <autoFilter ref="A1:O292"/>
  <dataValidations count="1">
    <dataValidation sqref="N2:N292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  <col width="12" customWidth="1" min="8" max="8"/>
    <col width="32" customWidth="1" min="9" max="9"/>
    <col width="12" customWidth="1" min="10" max="10"/>
    <col width="12" customWidth="1" min="11" max="11"/>
    <col width="10" customWidth="1" min="12" max="12"/>
    <col width="42" customWidth="1" min="13" max="13"/>
    <col width="12" customWidth="1" min="14" max="14"/>
    <col width="20" customWidth="1" min="15" max="15"/>
    <col width="14" customWidth="1" min="16" max="16"/>
  </cols>
  <sheetData>
    <row r="1">
      <c r="A1" s="9" t="inlineStr">
        <is>
          <t>Design ID</t>
        </is>
      </c>
      <c r="B1" s="9" t="inlineStr">
        <is>
          <t>Name</t>
        </is>
      </c>
      <c r="C1" s="9" t="inlineStr">
        <is>
          <t>Group</t>
        </is>
      </c>
      <c r="D1" s="9" t="inlineStr">
        <is>
          <t>Subgroup</t>
        </is>
      </c>
      <c r="E1" s="9" t="inlineStr">
        <is>
          <t>Track</t>
        </is>
      </c>
      <c r="F1" s="9" t="inlineStr">
        <is>
          <t>Est Hours</t>
        </is>
      </c>
      <c r="G1" s="9" t="inlineStr">
        <is>
          <t>Status</t>
        </is>
      </c>
      <c r="H1" s="9" t="inlineStr">
        <is>
          <t>Week Target</t>
        </is>
      </c>
      <c r="I1" s="9" t="inlineStr">
        <is>
          <t>Linked Modules</t>
        </is>
      </c>
      <c r="J1" s="9" t="inlineStr">
        <is>
          <t>Minutes Spent</t>
        </is>
      </c>
      <c r="K1" s="9" t="inlineStr">
        <is>
          <t>Writeup Done</t>
        </is>
      </c>
      <c r="L1" s="9" t="inlineStr">
        <is>
          <t>Mock Used</t>
        </is>
      </c>
      <c r="M1" s="9" t="inlineStr">
        <is>
          <t>File Path</t>
        </is>
      </c>
      <c r="N1" s="9" t="inlineStr">
        <is>
          <t>Open Doc</t>
        </is>
      </c>
      <c r="O1" s="9" t="inlineStr">
        <is>
          <t>Notes</t>
        </is>
      </c>
      <c r="P1" s="9" t="inlineStr">
        <is>
          <t>Resource Count</t>
        </is>
      </c>
    </row>
    <row r="2">
      <c r="A2" s="11" t="inlineStr">
        <is>
          <t>AI-Coding-Assistant</t>
        </is>
      </c>
      <c r="B2" s="11" t="inlineStr">
        <is>
          <t>System Design — AI Coding Assistant (IDE Copilot)</t>
        </is>
      </c>
      <c r="C2" s="11" t="inlineStr">
        <is>
          <t>System Design</t>
        </is>
      </c>
      <c r="D2" s="11" t="inlineStr">
        <is>
          <t>Product Design</t>
        </is>
      </c>
      <c r="E2" s="11" t="inlineStr">
        <is>
          <t>IC+EM</t>
        </is>
      </c>
      <c r="F2" s="11" t="n">
        <v>3</v>
      </c>
      <c r="G2" s="11" t="inlineStr">
        <is>
          <t>Not started</t>
        </is>
      </c>
      <c r="H2" s="11" t="inlineStr"/>
      <c r="I2" s="11" t="inlineStr">
        <is>
          <t>03-01, 03-03, 12-03</t>
        </is>
      </c>
      <c r="J2" s="11" t="inlineStr"/>
      <c r="K2" s="11" t="inlineStr">
        <is>
          <t>No</t>
        </is>
      </c>
      <c r="L2" s="11" t="inlineStr">
        <is>
          <t>No</t>
        </is>
      </c>
      <c r="M2" s="11" t="inlineStr">
        <is>
          <t>System Design/Design-AI-Coding-Assistant.md</t>
        </is>
      </c>
      <c r="N2" s="12">
        <f>IF(M2="","",IF(Config!$B$6="GitHub",HYPERLINK(Config!$B$5&amp;M2,"Open doc"),HYPERLINK("file://"&amp;Config!$B$4&amp;M2,"Open doc")))</f>
        <v/>
      </c>
      <c r="O2" s="11" t="inlineStr"/>
      <c r="P2" s="11">
        <f>COUNTIFS(Resources!A:A,"System Design",Resources!B:B,A2)</f>
        <v/>
      </c>
    </row>
    <row r="3">
      <c r="A3" s="11" t="inlineStr">
        <is>
          <t>AI-Customer-Support</t>
        </is>
      </c>
      <c r="B3" s="11" t="inlineStr">
        <is>
          <t>System Design — AI Customer Support (Agent + Human Handoff)</t>
        </is>
      </c>
      <c r="C3" s="11" t="inlineStr">
        <is>
          <t>System Design</t>
        </is>
      </c>
      <c r="D3" s="11" t="inlineStr">
        <is>
          <t>Product Design</t>
        </is>
      </c>
      <c r="E3" s="11" t="inlineStr">
        <is>
          <t>IC+EM</t>
        </is>
      </c>
      <c r="F3" s="11" t="n">
        <v>3</v>
      </c>
      <c r="G3" s="11" t="inlineStr">
        <is>
          <t>Not started</t>
        </is>
      </c>
      <c r="H3" s="11" t="inlineStr"/>
      <c r="I3" s="11" t="inlineStr">
        <is>
          <t>03-04, 04-01, 08-03</t>
        </is>
      </c>
      <c r="J3" s="11" t="inlineStr"/>
      <c r="K3" s="11" t="inlineStr">
        <is>
          <t>No</t>
        </is>
      </c>
      <c r="L3" s="11" t="inlineStr">
        <is>
          <t>No</t>
        </is>
      </c>
      <c r="M3" s="11" t="inlineStr">
        <is>
          <t>System Design/Design-AI-Customer-Support.md</t>
        </is>
      </c>
      <c r="N3" s="12">
        <f>IF(M3="","",IF(Config!$B$6="GitHub",HYPERLINK(Config!$B$5&amp;M3,"Open doc"),HYPERLINK("file://"&amp;Config!$B$4&amp;M3,"Open doc")))</f>
        <v/>
      </c>
      <c r="O3" s="11" t="inlineStr"/>
      <c r="P3" s="11">
        <f>COUNTIFS(Resources!A:A,"System Design",Resources!B:B,A3)</f>
        <v/>
      </c>
    </row>
    <row r="4">
      <c r="A4" s="11" t="inlineStr">
        <is>
          <t>AI-Research-Agent</t>
        </is>
      </c>
      <c r="B4" s="11" t="inlineStr">
        <is>
          <t>System Design — AI Research Agent (Deep Multi-Step)</t>
        </is>
      </c>
      <c r="C4" s="11" t="inlineStr">
        <is>
          <t>System Design</t>
        </is>
      </c>
      <c r="D4" s="11" t="inlineStr">
        <is>
          <t>Product Design</t>
        </is>
      </c>
      <c r="E4" s="11" t="inlineStr">
        <is>
          <t>IC+EM</t>
        </is>
      </c>
      <c r="F4" s="11" t="n">
        <v>3</v>
      </c>
      <c r="G4" s="11" t="inlineStr">
        <is>
          <t>Not started</t>
        </is>
      </c>
      <c r="H4" s="11" t="inlineStr"/>
      <c r="I4" s="11" t="inlineStr">
        <is>
          <t>12-01, 05-02, 08-01</t>
        </is>
      </c>
      <c r="J4" s="11" t="inlineStr"/>
      <c r="K4" s="11" t="inlineStr">
        <is>
          <t>No</t>
        </is>
      </c>
      <c r="L4" s="11" t="inlineStr">
        <is>
          <t>No</t>
        </is>
      </c>
      <c r="M4" s="11" t="inlineStr">
        <is>
          <t>System Design/Design-AI-Research-Agent.md</t>
        </is>
      </c>
      <c r="N4" s="12">
        <f>IF(M4="","",IF(Config!$B$6="GitHub",HYPERLINK(Config!$B$5&amp;M4,"Open doc"),HYPERLINK("file://"&amp;Config!$B$4&amp;M4,"Open doc")))</f>
        <v/>
      </c>
      <c r="O4" s="11" t="inlineStr"/>
      <c r="P4" s="11">
        <f>COUNTIFS(Resources!A:A,"System Design",Resources!B:B,A4)</f>
        <v/>
      </c>
    </row>
    <row r="5">
      <c r="A5" s="11" t="inlineStr">
        <is>
          <t>AI-Search-Engine</t>
        </is>
      </c>
      <c r="B5" s="11" t="inlineStr">
        <is>
          <t>System Design — AI Search Engine (Answer + Citations)</t>
        </is>
      </c>
      <c r="C5" s="11" t="inlineStr">
        <is>
          <t>System Design</t>
        </is>
      </c>
      <c r="D5" s="11" t="inlineStr">
        <is>
          <t>Product Design</t>
        </is>
      </c>
      <c r="E5" s="11" t="inlineStr">
        <is>
          <t>IC+EM</t>
        </is>
      </c>
      <c r="F5" s="11" t="n">
        <v>3</v>
      </c>
      <c r="G5" s="11" t="inlineStr">
        <is>
          <t>Not started</t>
        </is>
      </c>
      <c r="H5" s="11" t="inlineStr"/>
      <c r="I5" s="11" t="inlineStr">
        <is>
          <t>04-03, 04-04, 10-04</t>
        </is>
      </c>
      <c r="J5" s="11" t="inlineStr"/>
      <c r="K5" s="11" t="inlineStr">
        <is>
          <t>No</t>
        </is>
      </c>
      <c r="L5" s="11" t="inlineStr">
        <is>
          <t>No</t>
        </is>
      </c>
      <c r="M5" s="11" t="inlineStr">
        <is>
          <t>System Design/Design-AI-Search-Engine.md</t>
        </is>
      </c>
      <c r="N5" s="12">
        <f>IF(M5="","",IF(Config!$B$6="GitHub",HYPERLINK(Config!$B$5&amp;M5,"Open doc"),HYPERLINK("file://"&amp;Config!$B$4&amp;M5,"Open doc")))</f>
        <v/>
      </c>
      <c r="O5" s="11" t="inlineStr"/>
      <c r="P5" s="11">
        <f>COUNTIFS(Resources!A:A,"System Design",Resources!B:B,A5)</f>
        <v/>
      </c>
    </row>
    <row r="6">
      <c r="A6" s="11" t="inlineStr">
        <is>
          <t>AI-Voice-Assistant</t>
        </is>
      </c>
      <c r="B6" s="11" t="inlineStr">
        <is>
          <t>System Design — AI Voice Assistant (Real-Time Speech)</t>
        </is>
      </c>
      <c r="C6" s="11" t="inlineStr">
        <is>
          <t>System Design</t>
        </is>
      </c>
      <c r="D6" s="11" t="inlineStr">
        <is>
          <t>Product Design</t>
        </is>
      </c>
      <c r="E6" s="11" t="inlineStr">
        <is>
          <t>IC+EM</t>
        </is>
      </c>
      <c r="F6" s="11" t="n">
        <v>3</v>
      </c>
      <c r="G6" s="11" t="inlineStr">
        <is>
          <t>Not started</t>
        </is>
      </c>
      <c r="H6" s="11" t="inlineStr"/>
      <c r="I6" s="11" t="inlineStr">
        <is>
          <t>06-01, 10-03, 08-02</t>
        </is>
      </c>
      <c r="J6" s="11" t="inlineStr"/>
      <c r="K6" s="11" t="inlineStr">
        <is>
          <t>No</t>
        </is>
      </c>
      <c r="L6" s="11" t="inlineStr">
        <is>
          <t>No</t>
        </is>
      </c>
      <c r="M6" s="11" t="inlineStr">
        <is>
          <t>System Design/Design-AI-Voice-Assistant.md</t>
        </is>
      </c>
      <c r="N6" s="12">
        <f>IF(M6="","",IF(Config!$B$6="GitHub",HYPERLINK(Config!$B$5&amp;M6,"Open doc"),HYPERLINK("file://"&amp;Config!$B$4&amp;M6,"Open doc")))</f>
        <v/>
      </c>
      <c r="O6" s="11" t="inlineStr"/>
      <c r="P6" s="11">
        <f>COUNTIFS(Resources!A:A,"System Design",Resources!B:B,A6)</f>
        <v/>
      </c>
    </row>
    <row r="7">
      <c r="A7" s="11" t="inlineStr">
        <is>
          <t>ChatGPT</t>
        </is>
      </c>
      <c r="B7" s="11" t="inlineStr">
        <is>
          <t>System Design — Design ChatGPT</t>
        </is>
      </c>
      <c r="C7" s="11" t="inlineStr">
        <is>
          <t>System Design</t>
        </is>
      </c>
      <c r="D7" s="11" t="inlineStr">
        <is>
          <t>Product Design</t>
        </is>
      </c>
      <c r="E7" s="11" t="inlineStr">
        <is>
          <t>IC+EM</t>
        </is>
      </c>
      <c r="F7" s="11" t="n">
        <v>3</v>
      </c>
      <c r="G7" s="11" t="inlineStr">
        <is>
          <t>Not started</t>
        </is>
      </c>
      <c r="H7" s="11" t="inlineStr"/>
      <c r="I7" s="11" t="inlineStr">
        <is>
          <t>01-02, 03-01, 08-01, 11-01</t>
        </is>
      </c>
      <c r="J7" s="11" t="inlineStr"/>
      <c r="K7" s="11" t="inlineStr">
        <is>
          <t>No</t>
        </is>
      </c>
      <c r="L7" s="11" t="inlineStr">
        <is>
          <t>No</t>
        </is>
      </c>
      <c r="M7" s="11" t="inlineStr">
        <is>
          <t>System Design/Design-ChatGPT.md</t>
        </is>
      </c>
      <c r="N7" s="12">
        <f>IF(M7="","",IF(Config!$B$6="GitHub",HYPERLINK(Config!$B$5&amp;M7,"Open doc"),HYPERLINK("file://"&amp;Config!$B$4&amp;M7,"Open doc")))</f>
        <v/>
      </c>
      <c r="O7" s="11" t="inlineStr"/>
      <c r="P7" s="11">
        <f>COUNTIFS(Resources!A:A,"System Design",Resources!B:B,A7)</f>
        <v/>
      </c>
    </row>
    <row r="8">
      <c r="A8" s="11" t="inlineStr">
        <is>
          <t>Claude</t>
        </is>
      </c>
      <c r="B8" s="11" t="inlineStr">
        <is>
          <t>System Design — Design Claude</t>
        </is>
      </c>
      <c r="C8" s="11" t="inlineStr">
        <is>
          <t>System Design</t>
        </is>
      </c>
      <c r="D8" s="11" t="inlineStr">
        <is>
          <t>Product Design</t>
        </is>
      </c>
      <c r="E8" s="11" t="inlineStr">
        <is>
          <t>IC+EM</t>
        </is>
      </c>
      <c r="F8" s="11" t="n">
        <v>3</v>
      </c>
      <c r="G8" s="11" t="inlineStr">
        <is>
          <t>Not started</t>
        </is>
      </c>
      <c r="H8" s="11" t="inlineStr"/>
      <c r="I8" s="11" t="inlineStr">
        <is>
          <t>01-03, 03-02, 07-01, 11-02</t>
        </is>
      </c>
      <c r="J8" s="11" t="inlineStr"/>
      <c r="K8" s="11" t="inlineStr">
        <is>
          <t>No</t>
        </is>
      </c>
      <c r="L8" s="11" t="inlineStr">
        <is>
          <t>No</t>
        </is>
      </c>
      <c r="M8" s="11" t="inlineStr">
        <is>
          <t>System Design/Design-Claude.md</t>
        </is>
      </c>
      <c r="N8" s="12">
        <f>IF(M8="","",IF(Config!$B$6="GitHub",HYPERLINK(Config!$B$5&amp;M8,"Open doc"),HYPERLINK("file://"&amp;Config!$B$4&amp;M8,"Open doc")))</f>
        <v/>
      </c>
      <c r="O8" s="11" t="inlineStr"/>
      <c r="P8" s="11">
        <f>COUNTIFS(Resources!A:A,"System Design",Resources!B:B,A8)</f>
        <v/>
      </c>
    </row>
    <row r="9">
      <c r="A9" s="11" t="inlineStr">
        <is>
          <t>Cursor</t>
        </is>
      </c>
      <c r="B9" s="11" t="inlineStr">
        <is>
          <t>System Design — Design Cursor</t>
        </is>
      </c>
      <c r="C9" s="11" t="inlineStr">
        <is>
          <t>System Design</t>
        </is>
      </c>
      <c r="D9" s="11" t="inlineStr">
        <is>
          <t>Product Design</t>
        </is>
      </c>
      <c r="E9" s="11" t="inlineStr">
        <is>
          <t>IC+EM</t>
        </is>
      </c>
      <c r="F9" s="11" t="n">
        <v>3</v>
      </c>
      <c r="G9" s="11" t="inlineStr">
        <is>
          <t>Not started</t>
        </is>
      </c>
      <c r="H9" s="11" t="inlineStr"/>
      <c r="I9" s="11" t="inlineStr">
        <is>
          <t>03-03, 04-01, 12-03</t>
        </is>
      </c>
      <c r="J9" s="11" t="inlineStr"/>
      <c r="K9" s="11" t="inlineStr">
        <is>
          <t>No</t>
        </is>
      </c>
      <c r="L9" s="11" t="inlineStr">
        <is>
          <t>No</t>
        </is>
      </c>
      <c r="M9" s="11" t="inlineStr">
        <is>
          <t>System Design/Design-Cursor.md</t>
        </is>
      </c>
      <c r="N9" s="12">
        <f>IF(M9="","",IF(Config!$B$6="GitHub",HYPERLINK(Config!$B$5&amp;M9,"Open doc"),HYPERLINK("file://"&amp;Config!$B$4&amp;M9,"Open doc")))</f>
        <v/>
      </c>
      <c r="O9" s="11" t="inlineStr"/>
      <c r="P9" s="11">
        <f>COUNTIFS(Resources!A:A,"System Design",Resources!B:B,A9)</f>
        <v/>
      </c>
    </row>
    <row r="10">
      <c r="A10" s="11" t="inlineStr">
        <is>
          <t>GitHub-Copilot</t>
        </is>
      </c>
      <c r="B10" s="11" t="inlineStr">
        <is>
          <t>System Design — Design GitHub Copilot</t>
        </is>
      </c>
      <c r="C10" s="11" t="inlineStr">
        <is>
          <t>System Design</t>
        </is>
      </c>
      <c r="D10" s="11" t="inlineStr">
        <is>
          <t>Product Design</t>
        </is>
      </c>
      <c r="E10" s="11" t="inlineStr">
        <is>
          <t>IC+EM</t>
        </is>
      </c>
      <c r="F10" s="11" t="n">
        <v>3</v>
      </c>
      <c r="G10" s="11" t="inlineStr">
        <is>
          <t>Not started</t>
        </is>
      </c>
      <c r="H10" s="11" t="inlineStr"/>
      <c r="I10" s="11" t="inlineStr">
        <is>
          <t>01-05, 02-02, 10-03</t>
        </is>
      </c>
      <c r="J10" s="11" t="inlineStr"/>
      <c r="K10" s="11" t="inlineStr">
        <is>
          <t>No</t>
        </is>
      </c>
      <c r="L10" s="11" t="inlineStr">
        <is>
          <t>No</t>
        </is>
      </c>
      <c r="M10" s="11" t="inlineStr">
        <is>
          <t>System Design/Design-GitHub-Copilot.md</t>
        </is>
      </c>
      <c r="N10" s="12">
        <f>IF(M10="","",IF(Config!$B$6="GitHub",HYPERLINK(Config!$B$5&amp;M10,"Open doc"),HYPERLINK("file://"&amp;Config!$B$4&amp;M10,"Open doc")))</f>
        <v/>
      </c>
      <c r="O10" s="11" t="inlineStr"/>
      <c r="P10" s="11">
        <f>COUNTIFS(Resources!A:A,"System Design",Resources!B:B,A10)</f>
        <v/>
      </c>
    </row>
    <row r="11">
      <c r="A11" s="11" t="inlineStr">
        <is>
          <t>Multi-Agent-Workflow-Engine</t>
        </is>
      </c>
      <c r="B11" s="11" t="inlineStr">
        <is>
          <t>System Design — Multi-Agent Workflow Engine</t>
        </is>
      </c>
      <c r="C11" s="11" t="inlineStr">
        <is>
          <t>System Design</t>
        </is>
      </c>
      <c r="D11" s="11" t="inlineStr">
        <is>
          <t>Product Design</t>
        </is>
      </c>
      <c r="E11" s="11" t="inlineStr">
        <is>
          <t>IC+EM</t>
        </is>
      </c>
      <c r="F11" s="11" t="n">
        <v>3</v>
      </c>
      <c r="G11" s="11" t="inlineStr">
        <is>
          <t>Not started</t>
        </is>
      </c>
      <c r="H11" s="11" t="inlineStr"/>
      <c r="I11" s="11" t="inlineStr">
        <is>
          <t>05-01, 07-01, 08-02, 10-02</t>
        </is>
      </c>
      <c r="J11" s="11" t="inlineStr"/>
      <c r="K11" s="11" t="inlineStr">
        <is>
          <t>No</t>
        </is>
      </c>
      <c r="L11" s="11" t="inlineStr">
        <is>
          <t>No</t>
        </is>
      </c>
      <c r="M11" s="11" t="inlineStr">
        <is>
          <t>System Design/Design-Multi-Agent-Workflow-Engine.md</t>
        </is>
      </c>
      <c r="N11" s="12">
        <f>IF(M11="","",IF(Config!$B$6="GitHub",HYPERLINK(Config!$B$5&amp;M11,"Open doc"),HYPERLINK("file://"&amp;Config!$B$4&amp;M11,"Open doc")))</f>
        <v/>
      </c>
      <c r="O11" s="11" t="inlineStr"/>
      <c r="P11" s="11">
        <f>COUNTIFS(Resources!A:A,"System Design",Resources!B:B,A11)</f>
        <v/>
      </c>
    </row>
    <row r="12">
      <c r="A12" s="11" t="inlineStr">
        <is>
          <t>Notion-AI</t>
        </is>
      </c>
      <c r="B12" s="11" t="inlineStr">
        <is>
          <t>System Design — Notion AI (Workspace Knowledge + Blocks)</t>
        </is>
      </c>
      <c r="C12" s="11" t="inlineStr">
        <is>
          <t>System Design</t>
        </is>
      </c>
      <c r="D12" s="11" t="inlineStr">
        <is>
          <t>Product Design</t>
        </is>
      </c>
      <c r="E12" s="11" t="inlineStr">
        <is>
          <t>IC+EM</t>
        </is>
      </c>
      <c r="F12" s="11" t="n">
        <v>3</v>
      </c>
      <c r="G12" s="11" t="inlineStr">
        <is>
          <t>Not started</t>
        </is>
      </c>
      <c r="H12" s="11" t="inlineStr"/>
      <c r="I12" s="11" t="inlineStr">
        <is>
          <t>04-01, 02-01, 08-01</t>
        </is>
      </c>
      <c r="J12" s="11" t="inlineStr"/>
      <c r="K12" s="11" t="inlineStr">
        <is>
          <t>No</t>
        </is>
      </c>
      <c r="L12" s="11" t="inlineStr">
        <is>
          <t>No</t>
        </is>
      </c>
      <c r="M12" s="11" t="inlineStr">
        <is>
          <t>System Design/Design-Notion-AI.md</t>
        </is>
      </c>
      <c r="N12" s="12">
        <f>IF(M12="","",IF(Config!$B$6="GitHub",HYPERLINK(Config!$B$5&amp;M12,"Open doc"),HYPERLINK("file://"&amp;Config!$B$4&amp;M12,"Open doc")))</f>
        <v/>
      </c>
      <c r="O12" s="11" t="inlineStr"/>
      <c r="P12" s="11">
        <f>COUNTIFS(Resources!A:A,"System Design",Resources!B:B,A12)</f>
        <v/>
      </c>
    </row>
    <row r="13">
      <c r="A13" s="11" t="inlineStr">
        <is>
          <t>Perplexity</t>
        </is>
      </c>
      <c r="B13" s="11" t="inlineStr">
        <is>
          <t>System Design — Design Perplexity</t>
        </is>
      </c>
      <c r="C13" s="11" t="inlineStr">
        <is>
          <t>System Design</t>
        </is>
      </c>
      <c r="D13" s="11" t="inlineStr">
        <is>
          <t>Product Design</t>
        </is>
      </c>
      <c r="E13" s="11" t="inlineStr">
        <is>
          <t>IC+EM</t>
        </is>
      </c>
      <c r="F13" s="11" t="n">
        <v>3</v>
      </c>
      <c r="G13" s="11" t="inlineStr">
        <is>
          <t>Not started</t>
        </is>
      </c>
      <c r="H13" s="11" t="inlineStr"/>
      <c r="I13" s="11" t="inlineStr">
        <is>
          <t>04-01, 04-03, 12-01</t>
        </is>
      </c>
      <c r="J13" s="11" t="inlineStr"/>
      <c r="K13" s="11" t="inlineStr">
        <is>
          <t>No</t>
        </is>
      </c>
      <c r="L13" s="11" t="inlineStr">
        <is>
          <t>No</t>
        </is>
      </c>
      <c r="M13" s="11" t="inlineStr">
        <is>
          <t>System Design/Design-Perplexity.md</t>
        </is>
      </c>
      <c r="N13" s="12">
        <f>IF(M13="","",IF(Config!$B$6="GitHub",HYPERLINK(Config!$B$5&amp;M13,"Open doc"),HYPERLINK("file://"&amp;Config!$B$4&amp;M13,"Open doc")))</f>
        <v/>
      </c>
      <c r="O13" s="11" t="inlineStr"/>
      <c r="P13" s="11">
        <f>COUNTIFS(Resources!A:A,"System Design",Resources!B:B,A13)</f>
        <v/>
      </c>
    </row>
    <row r="14">
      <c r="A14" s="11" t="inlineStr">
        <is>
          <t>Slack-AI</t>
        </is>
      </c>
      <c r="B14" s="11" t="inlineStr">
        <is>
          <t>System Design — Slack AI (Enterprise Search + Assist)</t>
        </is>
      </c>
      <c r="C14" s="11" t="inlineStr">
        <is>
          <t>System Design</t>
        </is>
      </c>
      <c r="D14" s="11" t="inlineStr">
        <is>
          <t>Product Design</t>
        </is>
      </c>
      <c r="E14" s="11" t="inlineStr">
        <is>
          <t>IC+EM</t>
        </is>
      </c>
      <c r="F14" s="11" t="n">
        <v>3</v>
      </c>
      <c r="G14" s="11" t="inlineStr">
        <is>
          <t>Not started</t>
        </is>
      </c>
      <c r="H14" s="11" t="inlineStr"/>
      <c r="I14" s="11" t="inlineStr">
        <is>
          <t>04-01, 11-01, 08-03</t>
        </is>
      </c>
      <c r="J14" s="11" t="inlineStr"/>
      <c r="K14" s="11" t="inlineStr">
        <is>
          <t>No</t>
        </is>
      </c>
      <c r="L14" s="11" t="inlineStr">
        <is>
          <t>No</t>
        </is>
      </c>
      <c r="M14" s="11" t="inlineStr">
        <is>
          <t>System Design/Design-Slack-AI.md</t>
        </is>
      </c>
      <c r="N14" s="12">
        <f>IF(M14="","",IF(Config!$B$6="GitHub",HYPERLINK(Config!$B$5&amp;M14,"Open doc"),HYPERLINK("file://"&amp;Config!$B$4&amp;M14,"Open doc")))</f>
        <v/>
      </c>
      <c r="O14" s="11" t="inlineStr"/>
      <c r="P14" s="11">
        <f>COUNTIFS(Resources!A:A,"System Design",Resources!B:B,A14)</f>
        <v/>
      </c>
    </row>
  </sheetData>
  <autoFilter ref="A1:P14"/>
  <conditionalFormatting sqref="G2:G14">
    <cfRule type="expression" priority="1" dxfId="0">
      <formula>$G2="Done"</formula>
    </cfRule>
    <cfRule type="expression" priority="2" dxfId="1">
      <formula>$G2="In progress"</formula>
    </cfRule>
  </conditionalFormatting>
  <dataValidations count="3">
    <dataValidation sqref="G2:G14" showDropDown="0" showInputMessage="0" showErrorMessage="0" allowBlank="1" type="list">
      <formula1>"Not started,In progress,Done,Interview-ready"</formula1>
    </dataValidation>
    <dataValidation sqref="K2:K14" showDropDown="0" showInputMessage="0" showErrorMessage="0" allowBlank="1" type="list">
      <formula1>"Yes,No"</formula1>
    </dataValidation>
    <dataValidation sqref="L2:L1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8" customWidth="1" min="2" max="2"/>
    <col width="20" customWidth="1" min="3" max="3"/>
    <col width="12" customWidth="1" min="4" max="4"/>
    <col width="10" customWidth="1" min="5" max="5"/>
    <col width="10" customWidth="1" min="6" max="6"/>
    <col width="14" customWidth="1" min="7" max="7"/>
    <col width="24" customWidth="1" min="8" max="8"/>
    <col width="12" customWidth="1" min="9" max="9"/>
    <col width="48" customWidth="1" min="10" max="10"/>
    <col width="20" customWidth="1" min="11" max="11"/>
  </cols>
  <sheetData>
    <row r="1">
      <c r="A1" s="9" t="inlineStr">
        <is>
          <t>Item ID</t>
        </is>
      </c>
      <c r="B1" s="9" t="inlineStr">
        <is>
          <t>Name</t>
        </is>
      </c>
      <c r="C1" s="9" t="inlineStr">
        <is>
          <t>Group</t>
        </is>
      </c>
      <c r="D1" s="9" t="inlineStr">
        <is>
          <t>Subgroup</t>
        </is>
      </c>
      <c r="E1" s="9" t="inlineStr">
        <is>
          <t>Track</t>
        </is>
      </c>
      <c r="F1" s="9" t="inlineStr">
        <is>
          <t>Est Hours</t>
        </is>
      </c>
      <c r="G1" s="9" t="inlineStr">
        <is>
          <t>Status</t>
        </is>
      </c>
      <c r="H1" s="9" t="inlineStr">
        <is>
          <t>Linked Modules</t>
        </is>
      </c>
      <c r="I1" s="9" t="inlineStr">
        <is>
          <t>STAR Related</t>
        </is>
      </c>
      <c r="J1" s="9" t="inlineStr">
        <is>
          <t>File Path</t>
        </is>
      </c>
      <c r="K1" s="9" t="inlineStr">
        <is>
          <t>Notes</t>
        </is>
      </c>
    </row>
    <row r="2">
      <c r="A2" s="11" t="inlineStr">
        <is>
          <t>AI-Governance-Strategy-Metrics</t>
        </is>
      </c>
      <c r="B2" s="11" t="inlineStr">
        <is>
          <t>AI Governance, Strategy &amp; Metrics</t>
        </is>
      </c>
      <c r="C2" s="11" t="inlineStr">
        <is>
          <t>Leadership &amp; Career</t>
        </is>
      </c>
      <c r="D2" s="11" t="inlineStr">
        <is>
          <t>Leadership</t>
        </is>
      </c>
      <c r="E2" s="11" t="inlineStr">
        <is>
          <t>EM</t>
        </is>
      </c>
      <c r="F2" s="11" t="n">
        <v>3</v>
      </c>
      <c r="G2" s="11" t="inlineStr">
        <is>
          <t>Not started</t>
        </is>
      </c>
      <c r="H2" s="11" t="inlineStr">
        <is>
          <t>00-01, 08-03, 11-01</t>
        </is>
      </c>
      <c r="I2" s="11" t="inlineStr">
        <is>
          <t>No</t>
        </is>
      </c>
      <c r="J2" s="11" t="inlineStr">
        <is>
          <t>Leadership/AI-Governance-Strategy-Metrics.md</t>
        </is>
      </c>
      <c r="K2" s="11" t="inlineStr"/>
    </row>
    <row r="3">
      <c r="A3" s="11" t="inlineStr">
        <is>
          <t>Behavioral-STAR-Principal-EM</t>
        </is>
      </c>
      <c r="B3" s="11" t="inlineStr">
        <is>
          <t>Behavioral STAR — Principal &amp; EM</t>
        </is>
      </c>
      <c r="C3" s="11" t="inlineStr">
        <is>
          <t>Leadership &amp; Career</t>
        </is>
      </c>
      <c r="D3" s="11" t="inlineStr">
        <is>
          <t>Leadership</t>
        </is>
      </c>
      <c r="E3" s="11" t="inlineStr">
        <is>
          <t>EM</t>
        </is>
      </c>
      <c r="F3" s="11" t="n">
        <v>3</v>
      </c>
      <c r="G3" s="11" t="inlineStr">
        <is>
          <t>Not started</t>
        </is>
      </c>
      <c r="H3" s="11" t="inlineStr">
        <is>
          <t>00-01, 08-03, 11-01</t>
        </is>
      </c>
      <c r="I3" s="11" t="inlineStr">
        <is>
          <t>Yes</t>
        </is>
      </c>
      <c r="J3" s="11" t="inlineStr">
        <is>
          <t>Leadership/Behavioral-STAR-Principal-EM.md</t>
        </is>
      </c>
      <c r="K3" s="11" t="inlineStr"/>
    </row>
    <row r="4">
      <c r="A4" s="11" t="inlineStr">
        <is>
          <t>Hiring-AI-Engineers</t>
        </is>
      </c>
      <c r="B4" s="11" t="inlineStr">
        <is>
          <t>Hiring AI Engineers</t>
        </is>
      </c>
      <c r="C4" s="11" t="inlineStr">
        <is>
          <t>Leadership &amp; Career</t>
        </is>
      </c>
      <c r="D4" s="11" t="inlineStr">
        <is>
          <t>Leadership</t>
        </is>
      </c>
      <c r="E4" s="11" t="inlineStr">
        <is>
          <t>EM</t>
        </is>
      </c>
      <c r="F4" s="11" t="n">
        <v>3</v>
      </c>
      <c r="G4" s="11" t="inlineStr">
        <is>
          <t>Not started</t>
        </is>
      </c>
      <c r="H4" s="11" t="inlineStr">
        <is>
          <t>00-01, 08-03, 11-01</t>
        </is>
      </c>
      <c r="I4" s="11" t="inlineStr">
        <is>
          <t>No</t>
        </is>
      </c>
      <c r="J4" s="11" t="inlineStr">
        <is>
          <t>Leadership/Hiring-AI-Engineers.md</t>
        </is>
      </c>
      <c r="K4" s="11" t="inlineStr"/>
    </row>
    <row r="5">
      <c r="A5" s="11" t="inlineStr">
        <is>
          <t>Leading-AI-Teams</t>
        </is>
      </c>
      <c r="B5" s="11" t="inlineStr">
        <is>
          <t>Leading AI Teams</t>
        </is>
      </c>
      <c r="C5" s="11" t="inlineStr">
        <is>
          <t>Leadership &amp; Career</t>
        </is>
      </c>
      <c r="D5" s="11" t="inlineStr">
        <is>
          <t>Leadership</t>
        </is>
      </c>
      <c r="E5" s="11" t="inlineStr">
        <is>
          <t>EM</t>
        </is>
      </c>
      <c r="F5" s="11" t="n">
        <v>3</v>
      </c>
      <c r="G5" s="11" t="inlineStr">
        <is>
          <t>Not started</t>
        </is>
      </c>
      <c r="H5" s="11" t="inlineStr">
        <is>
          <t>00-01, 08-03, 11-01</t>
        </is>
      </c>
      <c r="I5" s="11" t="inlineStr">
        <is>
          <t>No</t>
        </is>
      </c>
      <c r="J5" s="11" t="inlineStr">
        <is>
          <t>Leadership/Leading-AI-Teams.md</t>
        </is>
      </c>
      <c r="K5" s="11" t="inlineStr"/>
    </row>
    <row r="6">
      <c r="A6" s="11" t="inlineStr">
        <is>
          <t>EM-Interview-Guide</t>
        </is>
      </c>
      <c r="B6" s="11" t="inlineStr">
        <is>
          <t>Engineering Manager Interview Guide (AI Era)</t>
        </is>
      </c>
      <c r="C6" s="11" t="inlineStr">
        <is>
          <t>Leadership &amp; Career</t>
        </is>
      </c>
      <c r="D6" s="11" t="inlineStr">
        <is>
          <t>Career</t>
        </is>
      </c>
      <c r="E6" s="11" t="inlineStr">
        <is>
          <t>IC+EM</t>
        </is>
      </c>
      <c r="F6" s="11" t="n">
        <v>3</v>
      </c>
      <c r="G6" s="11" t="inlineStr">
        <is>
          <t>Not started</t>
        </is>
      </c>
      <c r="H6" s="11" t="inlineStr">
        <is>
          <t>00-01, 08-03, 11-01</t>
        </is>
      </c>
      <c r="I6" s="11" t="inlineStr">
        <is>
          <t>Yes</t>
        </is>
      </c>
      <c r="J6" s="11" t="inlineStr">
        <is>
          <t>Career/EM-Interview-Guide.md</t>
        </is>
      </c>
      <c r="K6" s="11" t="inlineStr"/>
    </row>
    <row r="7">
      <c r="A7" s="11" t="inlineStr">
        <is>
          <t>India-AI-Career-Learning-Plan</t>
        </is>
      </c>
      <c r="B7" s="11" t="inlineStr">
        <is>
          <t>India AI Career Learning Plan — From Basic Programming, Zero AI</t>
        </is>
      </c>
      <c r="C7" s="11" t="inlineStr">
        <is>
          <t>Leadership &amp; Career</t>
        </is>
      </c>
      <c r="D7" s="11" t="inlineStr">
        <is>
          <t>Career</t>
        </is>
      </c>
      <c r="E7" s="11" t="inlineStr">
        <is>
          <t>IC+EM</t>
        </is>
      </c>
      <c r="F7" s="11" t="n">
        <v>3</v>
      </c>
      <c r="G7" s="11" t="inlineStr">
        <is>
          <t>Not started</t>
        </is>
      </c>
      <c r="H7" s="11" t="inlineStr">
        <is>
          <t>00-01, 08-03, 11-01</t>
        </is>
      </c>
      <c r="I7" s="11" t="inlineStr">
        <is>
          <t>No</t>
        </is>
      </c>
      <c r="J7" s="11" t="inlineStr">
        <is>
          <t>Career/India-AI-Career-Learning-Plan.md</t>
        </is>
      </c>
      <c r="K7" s="11" t="inlineStr"/>
    </row>
    <row r="8">
      <c r="A8" s="11" t="inlineStr">
        <is>
          <t>Principal-Staff-Interview-Guide</t>
        </is>
      </c>
      <c r="B8" s="11" t="inlineStr">
        <is>
          <t>Principal / Staff AI Interview Guide</t>
        </is>
      </c>
      <c r="C8" s="11" t="inlineStr">
        <is>
          <t>Leadership &amp; Career</t>
        </is>
      </c>
      <c r="D8" s="11" t="inlineStr">
        <is>
          <t>Career</t>
        </is>
      </c>
      <c r="E8" s="11" t="inlineStr">
        <is>
          <t>IC+EM</t>
        </is>
      </c>
      <c r="F8" s="11" t="n">
        <v>3</v>
      </c>
      <c r="G8" s="11" t="inlineStr">
        <is>
          <t>Not started</t>
        </is>
      </c>
      <c r="H8" s="11" t="inlineStr">
        <is>
          <t>00-01, 08-03, 11-01</t>
        </is>
      </c>
      <c r="I8" s="11" t="inlineStr">
        <is>
          <t>Yes</t>
        </is>
      </c>
      <c r="J8" s="11" t="inlineStr">
        <is>
          <t>Career/Principal-Staff-Interview-Guide.md</t>
        </is>
      </c>
      <c r="K8" s="11" t="inlineStr"/>
    </row>
  </sheetData>
  <autoFilter ref="A1:K8"/>
  <dataValidations count="1">
    <dataValidation sqref="G2:G8" showDropDown="0" showInputMessage="0" showErrorMessage="0" allowBlank="1" type="list">
      <formula1>"Not started,In progress,Done,Interview-ready"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34" customWidth="1" min="4" max="4"/>
    <col width="28" customWidth="1" min="5" max="5"/>
    <col width="26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24" customWidth="1" min="13" max="13"/>
  </cols>
  <sheetData>
    <row r="1">
      <c r="A1" s="9" t="inlineStr">
        <is>
          <t>Week</t>
        </is>
      </c>
      <c r="B1" s="9" t="inlineStr">
        <is>
          <t>Theme</t>
        </is>
      </c>
      <c r="C1" s="9" t="inlineStr">
        <is>
          <t>Group</t>
        </is>
      </c>
      <c r="D1" s="9" t="inlineStr">
        <is>
          <t>Module Codes</t>
        </is>
      </c>
      <c r="E1" s="9" t="inlineStr">
        <is>
          <t>Project</t>
        </is>
      </c>
      <c r="F1" s="9" t="inlineStr">
        <is>
          <t>Interview Focus</t>
        </is>
      </c>
      <c r="G1" s="9" t="inlineStr">
        <is>
          <t>Hours Planned</t>
        </is>
      </c>
      <c r="H1" s="9" t="inlineStr">
        <is>
          <t>Hours Actual</t>
        </is>
      </c>
      <c r="I1" s="9" t="inlineStr">
        <is>
          <t>Status</t>
        </is>
      </c>
      <c r="J1" s="9" t="inlineStr">
        <is>
          <t>Modules Total</t>
        </is>
      </c>
      <c r="K1" s="9" t="inlineStr">
        <is>
          <t>Modules Done+IR</t>
        </is>
      </c>
      <c r="L1" s="9" t="inlineStr">
        <is>
          <t>Week Progress %</t>
        </is>
      </c>
      <c r="M1" s="9" t="inlineStr">
        <is>
          <t>Notes</t>
        </is>
      </c>
    </row>
    <row r="2">
      <c r="A2" s="11" t="n">
        <v>0</v>
      </c>
      <c r="B2" s="11" t="inlineStr">
        <is>
          <t>Foundations — GenAI + craft</t>
        </is>
      </c>
      <c r="C2" s="11" t="inlineStr">
        <is>
          <t>00 Foundations</t>
        </is>
      </c>
      <c r="D2" s="11" t="inlineStr">
        <is>
          <t>00-01, 00-02, 00-03</t>
        </is>
      </c>
      <c r="E2" s="11" t="inlineStr">
        <is>
          <t>Hello-LLM CLI + FastAPI warmup</t>
        </is>
      </c>
      <c r="F2" s="11" t="inlineStr">
        <is>
          <t>GenAI vocabulary</t>
        </is>
      </c>
      <c r="G2" s="11" t="n">
        <v>12</v>
      </c>
      <c r="H2" s="11" t="inlineStr"/>
      <c r="I2" s="11" t="inlineStr">
        <is>
          <t>Not started</t>
        </is>
      </c>
      <c r="J2" s="11" t="n">
        <v>3</v>
      </c>
      <c r="K2" s="11">
        <f>COUNTIFS(Modules!$A:$A,"00-01",Modules!$I:$I,"Done")+COUNTIFS(Modules!$A:$A,"00-01",Modules!$I:$I,"Interview-ready")+COUNTIFS(Modules!$A:$A,"00-02",Modules!$I:$I,"Done")+COUNTIFS(Modules!$A:$A,"00-02",Modules!$I:$I,"Interview-ready")+COUNTIFS(Modules!$A:$A,"00-03",Modules!$I:$I,"Done")+COUNTIFS(Modules!$A:$A,"00-03",Modules!$I:$I,"Interview-ready")</f>
        <v/>
      </c>
      <c r="L2" s="13">
        <f>IF(J2=0,"",K2/J2)</f>
        <v/>
      </c>
      <c r="M2" s="11" t="n"/>
    </row>
    <row r="3">
      <c r="A3" s="11" t="n">
        <v>1</v>
      </c>
      <c r="B3" s="11" t="inlineStr">
        <is>
          <t>Foundations — rules + math + BankCo</t>
        </is>
      </c>
      <c r="C3" s="11" t="inlineStr">
        <is>
          <t>00 Foundations</t>
        </is>
      </c>
      <c r="D3" s="11" t="inlineStr">
        <is>
          <t>00-04, 00-05, 00-06</t>
        </is>
      </c>
      <c r="E3" s="11" t="inlineStr">
        <is>
          <t>When-not-to-agent · cosine · BankCo</t>
        </is>
      </c>
      <c r="F3" s="11" t="inlineStr">
        <is>
          <t>Rules vs agent</t>
        </is>
      </c>
      <c r="G3" s="11" t="n">
        <v>12</v>
      </c>
      <c r="H3" s="11" t="inlineStr"/>
      <c r="I3" s="11" t="inlineStr">
        <is>
          <t>Not started</t>
        </is>
      </c>
      <c r="J3" s="11" t="n">
        <v>3</v>
      </c>
      <c r="K3" s="11">
        <f>COUNTIFS(Modules!$A:$A,"00-04",Modules!$I:$I,"Done")+COUNTIFS(Modules!$A:$A,"00-04",Modules!$I:$I,"Interview-ready")+COUNTIFS(Modules!$A:$A,"00-05",Modules!$I:$I,"Done")+COUNTIFS(Modules!$A:$A,"00-05",Modules!$I:$I,"Interview-ready")+COUNTIFS(Modules!$A:$A,"00-06",Modules!$I:$I,"Done")+COUNTIFS(Modules!$A:$A,"00-06",Modules!$I:$I,"Interview-ready")</f>
        <v/>
      </c>
      <c r="L3" s="13">
        <f>IF(J3=0,"",K3/J3)</f>
        <v/>
      </c>
      <c r="M3" s="11" t="n"/>
    </row>
    <row r="4">
      <c r="A4" s="11" t="n">
        <v>2</v>
      </c>
      <c r="B4" s="11" t="inlineStr">
        <is>
          <t>LLM Engineering I</t>
        </is>
      </c>
      <c r="C4" s="11" t="inlineStr">
        <is>
          <t>01 LLM Engineering</t>
        </is>
      </c>
      <c r="D4" s="11" t="inlineStr">
        <is>
          <t>01-01, 01-02</t>
        </is>
      </c>
      <c r="E4" s="11" t="inlineStr">
        <is>
          <t>Token cost estimator</t>
        </is>
      </c>
      <c r="F4" s="11" t="inlineStr">
        <is>
          <t>Transformer whiteboard</t>
        </is>
      </c>
      <c r="G4" s="11" t="n">
        <v>12</v>
      </c>
      <c r="H4" s="11" t="inlineStr"/>
      <c r="I4" s="11" t="inlineStr">
        <is>
          <t>Not started</t>
        </is>
      </c>
      <c r="J4" s="11" t="n">
        <v>2</v>
      </c>
      <c r="K4" s="11">
        <f>COUNTIFS(Modules!$A:$A,"01-01",Modules!$I:$I,"Done")+COUNTIFS(Modules!$A:$A,"01-01",Modules!$I:$I,"Interview-ready")+COUNTIFS(Modules!$A:$A,"01-02",Modules!$I:$I,"Done")+COUNTIFS(Modules!$A:$A,"01-02",Modules!$I:$I,"Interview-ready")</f>
        <v/>
      </c>
      <c r="L4" s="13">
        <f>IF(J4=0,"",K4/J4)</f>
        <v/>
      </c>
      <c r="M4" s="11" t="n"/>
    </row>
    <row r="5">
      <c r="A5" s="11" t="n">
        <v>3</v>
      </c>
      <c r="B5" s="11" t="inlineStr">
        <is>
          <t>LLM Engineering II</t>
        </is>
      </c>
      <c r="C5" s="11" t="inlineStr">
        <is>
          <t>01 LLM Engineering</t>
        </is>
      </c>
      <c r="D5" s="11" t="inlineStr">
        <is>
          <t>01-03, 01-04, 01-05</t>
        </is>
      </c>
      <c r="E5" s="11" t="inlineStr">
        <is>
          <t>LiteLLM FastAPI router</t>
        </is>
      </c>
      <c r="F5" s="11" t="inlineStr">
        <is>
          <t>Inference tradeoffs</t>
        </is>
      </c>
      <c r="G5" s="11" t="n">
        <v>12</v>
      </c>
      <c r="H5" s="11" t="inlineStr"/>
      <c r="I5" s="11" t="inlineStr">
        <is>
          <t>Not started</t>
        </is>
      </c>
      <c r="J5" s="11" t="n">
        <v>3</v>
      </c>
      <c r="K5" s="11">
        <f>COUNTIFS(Modules!$A:$A,"01-03",Modules!$I:$I,"Done")+COUNTIFS(Modules!$A:$A,"01-03",Modules!$I:$I,"Interview-ready")+COUNTIFS(Modules!$A:$A,"01-04",Modules!$I:$I,"Done")+COUNTIFS(Modules!$A:$A,"01-04",Modules!$I:$I,"Interview-ready")+COUNTIFS(Modules!$A:$A,"01-05",Modules!$I:$I,"Done")+COUNTIFS(Modules!$A:$A,"01-05",Modules!$I:$I,"Interview-ready")</f>
        <v/>
      </c>
      <c r="L5" s="13">
        <f>IF(J5=0,"",K5/J5)</f>
        <v/>
      </c>
      <c r="M5" s="11" t="n"/>
    </row>
    <row r="6">
      <c r="A6" s="11" t="n">
        <v>4</v>
      </c>
      <c r="B6" s="11" t="inlineStr">
        <is>
          <t>Prompts &amp; Tools</t>
        </is>
      </c>
      <c r="C6" s="11" t="inlineStr">
        <is>
          <t>02 Prompt Engineering</t>
        </is>
      </c>
      <c r="D6" s="11" t="inlineStr">
        <is>
          <t>02-01, 02-02</t>
        </is>
      </c>
      <c r="E6" s="11" t="inlineStr">
        <is>
          <t>Structured router agent</t>
        </is>
      </c>
      <c r="F6" s="11" t="inlineStr">
        <is>
          <t>Tool-calling design</t>
        </is>
      </c>
      <c r="G6" s="11" t="n">
        <v>12</v>
      </c>
      <c r="H6" s="11" t="inlineStr"/>
      <c r="I6" s="11" t="inlineStr">
        <is>
          <t>Not started</t>
        </is>
      </c>
      <c r="J6" s="11" t="n">
        <v>2</v>
      </c>
      <c r="K6" s="11">
        <f>COUNTIFS(Modules!$A:$A,"02-01",Modules!$I:$I,"Done")+COUNTIFS(Modules!$A:$A,"02-01",Modules!$I:$I,"Interview-ready")+COUNTIFS(Modules!$A:$A,"02-02",Modules!$I:$I,"Done")+COUNTIFS(Modules!$A:$A,"02-02",Modules!$I:$I,"Interview-ready")</f>
        <v/>
      </c>
      <c r="L6" s="13">
        <f>IF(J6=0,"",K6/J6)</f>
        <v/>
      </c>
      <c r="M6" s="11" t="n"/>
    </row>
    <row r="7">
      <c r="A7" s="11" t="n">
        <v>5</v>
      </c>
      <c r="B7" s="11" t="inlineStr">
        <is>
          <t>Agents I</t>
        </is>
      </c>
      <c r="C7" s="11" t="inlineStr">
        <is>
          <t>03 Agentic Fundamentals</t>
        </is>
      </c>
      <c r="D7" s="11" t="inlineStr">
        <is>
          <t>03-01, 03-02</t>
        </is>
      </c>
      <c r="E7" s="11" t="inlineStr">
        <is>
          <t>Inquiry routing agent</t>
        </is>
      </c>
      <c r="F7" s="11" t="inlineStr">
        <is>
          <t>Agent loop critique</t>
        </is>
      </c>
      <c r="G7" s="11" t="n">
        <v>12</v>
      </c>
      <c r="H7" s="11" t="inlineStr"/>
      <c r="I7" s="11" t="inlineStr">
        <is>
          <t>Not started</t>
        </is>
      </c>
      <c r="J7" s="11" t="n">
        <v>2</v>
      </c>
      <c r="K7" s="11">
        <f>COUNTIFS(Modules!$A:$A,"03-01",Modules!$I:$I,"Done")+COUNTIFS(Modules!$A:$A,"03-01",Modules!$I:$I,"Interview-ready")+COUNTIFS(Modules!$A:$A,"03-02",Modules!$I:$I,"Done")+COUNTIFS(Modules!$A:$A,"03-02",Modules!$I:$I,"Interview-ready")</f>
        <v/>
      </c>
      <c r="L7" s="13">
        <f>IF(J7=0,"",K7/J7)</f>
        <v/>
      </c>
      <c r="M7" s="11" t="n"/>
    </row>
    <row r="8">
      <c r="A8" s="11" t="n">
        <v>6</v>
      </c>
      <c r="B8" s="11" t="inlineStr">
        <is>
          <t>Agents II</t>
        </is>
      </c>
      <c r="C8" s="11" t="inlineStr">
        <is>
          <t>03 Agentic Fundamentals</t>
        </is>
      </c>
      <c r="D8" s="11" t="inlineStr">
        <is>
          <t>03-03, 03-04</t>
        </is>
      </c>
      <c r="E8" s="11" t="inlineStr">
        <is>
          <t>LangGraph + checkpointing</t>
        </is>
      </c>
      <c r="F8" s="11" t="inlineStr">
        <is>
          <t>Pattern selection</t>
        </is>
      </c>
      <c r="G8" s="11" t="n">
        <v>12</v>
      </c>
      <c r="H8" s="11" t="inlineStr"/>
      <c r="I8" s="11" t="inlineStr">
        <is>
          <t>Not started</t>
        </is>
      </c>
      <c r="J8" s="11" t="n">
        <v>2</v>
      </c>
      <c r="K8" s="11">
        <f>COUNTIFS(Modules!$A:$A,"03-03",Modules!$I:$I,"Done")+COUNTIFS(Modules!$A:$A,"03-03",Modules!$I:$I,"Interview-ready")+COUNTIFS(Modules!$A:$A,"03-04",Modules!$I:$I,"Done")+COUNTIFS(Modules!$A:$A,"03-04",Modules!$I:$I,"Interview-ready")</f>
        <v/>
      </c>
      <c r="L8" s="13">
        <f>IF(J8=0,"",K8/J8)</f>
        <v/>
      </c>
      <c r="M8" s="11" t="n"/>
    </row>
    <row r="9">
      <c r="A9" s="11" t="n">
        <v>7</v>
      </c>
      <c r="B9" s="11" t="inlineStr">
        <is>
          <t>RAG I</t>
        </is>
      </c>
      <c r="C9" s="11" t="inlineStr">
        <is>
          <t>04 RAG</t>
        </is>
      </c>
      <c r="D9" s="11" t="inlineStr">
        <is>
          <t>04-01, 04-02</t>
        </is>
      </c>
      <c r="E9" s="11" t="inlineStr">
        <is>
          <t>Ingestion + chunking</t>
        </is>
      </c>
      <c r="F9" s="11" t="inlineStr">
        <is>
          <t>Chunking tradeoffs</t>
        </is>
      </c>
      <c r="G9" s="11" t="n">
        <v>12</v>
      </c>
      <c r="H9" s="11" t="inlineStr"/>
      <c r="I9" s="11" t="inlineStr">
        <is>
          <t>Not started</t>
        </is>
      </c>
      <c r="J9" s="11" t="n">
        <v>2</v>
      </c>
      <c r="K9" s="11">
        <f>COUNTIFS(Modules!$A:$A,"04-01",Modules!$I:$I,"Done")+COUNTIFS(Modules!$A:$A,"04-01",Modules!$I:$I,"Interview-ready")+COUNTIFS(Modules!$A:$A,"04-02",Modules!$I:$I,"Done")+COUNTIFS(Modules!$A:$A,"04-02",Modules!$I:$I,"Interview-ready")</f>
        <v/>
      </c>
      <c r="L9" s="13">
        <f>IF(J9=0,"",K9/J9)</f>
        <v/>
      </c>
      <c r="M9" s="11" t="n"/>
    </row>
    <row r="10">
      <c r="A10" s="11" t="n">
        <v>8</v>
      </c>
      <c r="B10" s="11" t="inlineStr">
        <is>
          <t>RAG II</t>
        </is>
      </c>
      <c r="C10" s="11" t="inlineStr">
        <is>
          <t>04 RAG</t>
        </is>
      </c>
      <c r="D10" s="11" t="inlineStr">
        <is>
          <t>04-03, 04-04</t>
        </is>
      </c>
      <c r="E10" s="11" t="inlineStr">
        <is>
          <t>Hybrid + rerank + citations</t>
        </is>
      </c>
      <c r="F10" s="11" t="inlineStr">
        <is>
          <t>Hallucination control</t>
        </is>
      </c>
      <c r="G10" s="11" t="n">
        <v>12</v>
      </c>
      <c r="H10" s="11" t="inlineStr"/>
      <c r="I10" s="11" t="inlineStr">
        <is>
          <t>Not started</t>
        </is>
      </c>
      <c r="J10" s="11" t="n">
        <v>2</v>
      </c>
      <c r="K10" s="11">
        <f>COUNTIFS(Modules!$A:$A,"04-03",Modules!$I:$I,"Done")+COUNTIFS(Modules!$A:$A,"04-03",Modules!$I:$I,"Interview-ready")+COUNTIFS(Modules!$A:$A,"04-04",Modules!$I:$I,"Done")+COUNTIFS(Modules!$A:$A,"04-04",Modules!$I:$I,"Interview-ready")</f>
        <v/>
      </c>
      <c r="L10" s="13">
        <f>IF(J10=0,"",K10/J10)</f>
        <v/>
      </c>
      <c r="M10" s="11" t="n"/>
    </row>
    <row r="11">
      <c r="A11" s="11" t="n">
        <v>9</v>
      </c>
      <c r="B11" s="11" t="inlineStr">
        <is>
          <t>Multi-Agent</t>
        </is>
      </c>
      <c r="C11" s="11" t="inlineStr">
        <is>
          <t>05 Multi-Agent</t>
        </is>
      </c>
      <c r="D11" s="11" t="inlineStr">
        <is>
          <t>05-01, 05-02, 05-03</t>
        </is>
      </c>
      <c r="E11" s="11" t="inlineStr">
        <is>
          <t>Travel planner multi-agent</t>
        </is>
      </c>
      <c r="F11" s="11" t="inlineStr">
        <is>
          <t>Coordination failures</t>
        </is>
      </c>
      <c r="G11" s="11" t="n">
        <v>14</v>
      </c>
      <c r="H11" s="11" t="inlineStr"/>
      <c r="I11" s="11" t="inlineStr">
        <is>
          <t>Not started</t>
        </is>
      </c>
      <c r="J11" s="11" t="n">
        <v>3</v>
      </c>
      <c r="K11" s="11">
        <f>COUNTIFS(Modules!$A:$A,"05-01",Modules!$I:$I,"Done")+COUNTIFS(Modules!$A:$A,"05-01",Modules!$I:$I,"Interview-ready")+COUNTIFS(Modules!$A:$A,"05-02",Modules!$I:$I,"Done")+COUNTIFS(Modules!$A:$A,"05-02",Modules!$I:$I,"Interview-ready")+COUNTIFS(Modules!$A:$A,"05-03",Modules!$I:$I,"Done")+COUNTIFS(Modules!$A:$A,"05-03",Modules!$I:$I,"Interview-ready")</f>
        <v/>
      </c>
      <c r="L11" s="13">
        <f>IF(J11=0,"",K11/J11)</f>
        <v/>
      </c>
      <c r="M11" s="11" t="n"/>
    </row>
    <row r="12">
      <c r="A12" s="11" t="n">
        <v>10</v>
      </c>
      <c r="B12" s="11" t="inlineStr">
        <is>
          <t>Voice / Multimodal</t>
        </is>
      </c>
      <c r="C12" s="11" t="inlineStr">
        <is>
          <t>06 Voice &amp; Multimodal</t>
        </is>
      </c>
      <c r="D12" s="11" t="inlineStr">
        <is>
          <t>06-01, 06-02</t>
        </is>
      </c>
      <c r="E12" s="11" t="inlineStr">
        <is>
          <t>ASR→LLM→TTS bot</t>
        </is>
      </c>
      <c r="F12" s="11" t="inlineStr">
        <is>
          <t>Latency budgets</t>
        </is>
      </c>
      <c r="G12" s="11" t="n">
        <v>12</v>
      </c>
      <c r="H12" s="11" t="inlineStr"/>
      <c r="I12" s="11" t="inlineStr">
        <is>
          <t>Not started</t>
        </is>
      </c>
      <c r="J12" s="11" t="n">
        <v>2</v>
      </c>
      <c r="K12" s="11">
        <f>COUNTIFS(Modules!$A:$A,"06-01",Modules!$I:$I,"Done")+COUNTIFS(Modules!$A:$A,"06-01",Modules!$I:$I,"Interview-ready")+COUNTIFS(Modules!$A:$A,"06-02",Modules!$I:$I,"Done")+COUNTIFS(Modules!$A:$A,"06-02",Modules!$I:$I,"Interview-ready")</f>
        <v/>
      </c>
      <c r="L12" s="13">
        <f>IF(J12=0,"",K12/J12)</f>
        <v/>
      </c>
      <c r="M12" s="11" t="n"/>
    </row>
    <row r="13">
      <c r="A13" s="11" t="n">
        <v>11</v>
      </c>
      <c r="B13" s="11" t="inlineStr">
        <is>
          <t>Protocols</t>
        </is>
      </c>
      <c r="C13" s="11" t="inlineStr">
        <is>
          <t>07 Protocols MCP/A2A</t>
        </is>
      </c>
      <c r="D13" s="11" t="inlineStr">
        <is>
          <t>07-01, 07-02, 07-03, 07-04</t>
        </is>
      </c>
      <c r="E13" s="11" t="inlineStr">
        <is>
          <t>MCP + A2A negotiation</t>
        </is>
      </c>
      <c r="F13" s="11" t="inlineStr">
        <is>
          <t>Protocol design</t>
        </is>
      </c>
      <c r="G13" s="11" t="n">
        <v>12</v>
      </c>
      <c r="H13" s="11" t="inlineStr"/>
      <c r="I13" s="11" t="inlineStr">
        <is>
          <t>Not started</t>
        </is>
      </c>
      <c r="J13" s="11" t="n">
        <v>4</v>
      </c>
      <c r="K13" s="11">
        <f>COUNTIFS(Modules!$A:$A,"07-01",Modules!$I:$I,"Done")+COUNTIFS(Modules!$A:$A,"07-01",Modules!$I:$I,"Interview-ready")+COUNTIFS(Modules!$A:$A,"07-02",Modules!$I:$I,"Done")+COUNTIFS(Modules!$A:$A,"07-02",Modules!$I:$I,"Interview-ready")+COUNTIFS(Modules!$A:$A,"07-03",Modules!$I:$I,"Done")+COUNTIFS(Modules!$A:$A,"07-03",Modules!$I:$I,"Interview-ready")+COUNTIFS(Modules!$A:$A,"07-04",Modules!$I:$I,"Done")+COUNTIFS(Modules!$A:$A,"07-04",Modules!$I:$I,"Interview-ready")</f>
        <v/>
      </c>
      <c r="L13" s="13">
        <f>IF(J13=0,"",K13/J13)</f>
        <v/>
      </c>
      <c r="M13" s="11" t="n"/>
    </row>
    <row r="14">
      <c r="A14" s="11" t="n">
        <v>12</v>
      </c>
      <c r="B14" s="11" t="inlineStr">
        <is>
          <t>Eval / LLMOps</t>
        </is>
      </c>
      <c r="C14" s="11" t="inlineStr">
        <is>
          <t>08 Eval &amp; LLMOps</t>
        </is>
      </c>
      <c r="D14" s="11" t="inlineStr">
        <is>
          <t>08-01, 08-02, 08-03</t>
        </is>
      </c>
      <c r="E14" s="11" t="inlineStr">
        <is>
          <t>Golden set + ship gate</t>
        </is>
      </c>
      <c r="F14" s="11" t="inlineStr">
        <is>
          <t>Eval strategy</t>
        </is>
      </c>
      <c r="G14" s="11" t="n">
        <v>12</v>
      </c>
      <c r="H14" s="11" t="inlineStr"/>
      <c r="I14" s="11" t="inlineStr">
        <is>
          <t>Not started</t>
        </is>
      </c>
      <c r="J14" s="11" t="n">
        <v>3</v>
      </c>
      <c r="K14" s="11">
        <f>COUNTIFS(Modules!$A:$A,"08-01",Modules!$I:$I,"Done")+COUNTIFS(Modules!$A:$A,"08-01",Modules!$I:$I,"Interview-ready")+COUNTIFS(Modules!$A:$A,"08-02",Modules!$I:$I,"Done")+COUNTIFS(Modules!$A:$A,"08-02",Modules!$I:$I,"Interview-ready")+COUNTIFS(Modules!$A:$A,"08-03",Modules!$I:$I,"Done")+COUNTIFS(Modules!$A:$A,"08-03",Modules!$I:$I,"Interview-ready")</f>
        <v/>
      </c>
      <c r="L14" s="13">
        <f>IF(J14=0,"",K14/J14)</f>
        <v/>
      </c>
      <c r="M14" s="11" t="n"/>
    </row>
    <row r="15">
      <c r="A15" s="11" t="n">
        <v>13</v>
      </c>
      <c r="B15" s="11" t="inlineStr">
        <is>
          <t>Fine-Tuning</t>
        </is>
      </c>
      <c r="C15" s="11" t="inlineStr">
        <is>
          <t>09 Fine-Tuning</t>
        </is>
      </c>
      <c r="D15" s="11" t="inlineStr">
        <is>
          <t>09-01, 09-02, 09-03</t>
        </is>
      </c>
      <c r="E15" s="11" t="inlineStr">
        <is>
          <t>LoRA compare</t>
        </is>
      </c>
      <c r="F15" s="11" t="inlineStr">
        <is>
          <t>Prompt vs RAG vs FT</t>
        </is>
      </c>
      <c r="G15" s="11" t="n">
        <v>12</v>
      </c>
      <c r="H15" s="11" t="inlineStr"/>
      <c r="I15" s="11" t="inlineStr">
        <is>
          <t>Not started</t>
        </is>
      </c>
      <c r="J15" s="11" t="n">
        <v>3</v>
      </c>
      <c r="K15" s="11">
        <f>COUNTIFS(Modules!$A:$A,"09-01",Modules!$I:$I,"Done")+COUNTIFS(Modules!$A:$A,"09-01",Modules!$I:$I,"Interview-ready")+COUNTIFS(Modules!$A:$A,"09-02",Modules!$I:$I,"Done")+COUNTIFS(Modules!$A:$A,"09-02",Modules!$I:$I,"Interview-ready")+COUNTIFS(Modules!$A:$A,"09-03",Modules!$I:$I,"Done")+COUNTIFS(Modules!$A:$A,"09-03",Modules!$I:$I,"Interview-ready")</f>
        <v/>
      </c>
      <c r="L15" s="13">
        <f>IF(J15=0,"",K15/J15)</f>
        <v/>
      </c>
      <c r="M15" s="11" t="n"/>
    </row>
    <row r="16">
      <c r="A16" s="11" t="n">
        <v>14</v>
      </c>
      <c r="B16" s="11" t="inlineStr">
        <is>
          <t>Production Infra</t>
        </is>
      </c>
      <c r="C16" s="11" t="inlineStr">
        <is>
          <t>10 Production Infra</t>
        </is>
      </c>
      <c r="D16" s="11" t="inlineStr">
        <is>
          <t>10-01, 10-02, 10-03, 10-04</t>
        </is>
      </c>
      <c r="E16" s="11" t="inlineStr">
        <is>
          <t>Dockerized agent API</t>
        </is>
      </c>
      <c r="F16" s="11" t="inlineStr">
        <is>
          <t>Cost/latency design</t>
        </is>
      </c>
      <c r="G16" s="11" t="n">
        <v>14</v>
      </c>
      <c r="H16" s="11" t="inlineStr"/>
      <c r="I16" s="11" t="inlineStr">
        <is>
          <t>Not started</t>
        </is>
      </c>
      <c r="J16" s="11" t="n">
        <v>4</v>
      </c>
      <c r="K16" s="11">
        <f>COUNTIFS(Modules!$A:$A,"10-01",Modules!$I:$I,"Done")+COUNTIFS(Modules!$A:$A,"10-01",Modules!$I:$I,"Interview-ready")+COUNTIFS(Modules!$A:$A,"10-02",Modules!$I:$I,"Done")+COUNTIFS(Modules!$A:$A,"10-02",Modules!$I:$I,"Interview-ready")+COUNTIFS(Modules!$A:$A,"10-03",Modules!$I:$I,"Done")+COUNTIFS(Modules!$A:$A,"10-03",Modules!$I:$I,"Interview-ready")+COUNTIFS(Modules!$A:$A,"10-04",Modules!$I:$I,"Done")+COUNTIFS(Modules!$A:$A,"10-04",Modules!$I:$I,"Interview-ready")</f>
        <v/>
      </c>
      <c r="L16" s="13">
        <f>IF(J16=0,"",K16/J16)</f>
        <v/>
      </c>
      <c r="M16" s="11" t="n"/>
    </row>
    <row r="17">
      <c r="A17" s="11" t="n">
        <v>15</v>
      </c>
      <c r="B17" s="11" t="inlineStr">
        <is>
          <t>Security + Advanced</t>
        </is>
      </c>
      <c r="C17" s="11" t="inlineStr">
        <is>
          <t>11 Security &amp; Safety</t>
        </is>
      </c>
      <c r="D17" s="11" t="inlineStr">
        <is>
          <t>11-01, 11-02, 12-01, 12-02</t>
        </is>
      </c>
      <c r="E17" s="11" t="inlineStr">
        <is>
          <t>Red-team + Text2SQL</t>
        </is>
      </c>
      <c r="F17" s="11" t="inlineStr">
        <is>
          <t>Safety review</t>
        </is>
      </c>
      <c r="G17" s="11" t="n">
        <v>14</v>
      </c>
      <c r="H17" s="11" t="inlineStr"/>
      <c r="I17" s="11" t="inlineStr">
        <is>
          <t>Not started</t>
        </is>
      </c>
      <c r="J17" s="11" t="n">
        <v>4</v>
      </c>
      <c r="K17" s="11">
        <f>COUNTIFS(Modules!$A:$A,"11-01",Modules!$I:$I,"Done")+COUNTIFS(Modules!$A:$A,"11-01",Modules!$I:$I,"Interview-ready")+COUNTIFS(Modules!$A:$A,"11-02",Modules!$I:$I,"Done")+COUNTIFS(Modules!$A:$A,"11-02",Modules!$I:$I,"Interview-ready")+COUNTIFS(Modules!$A:$A,"12-01",Modules!$I:$I,"Done")+COUNTIFS(Modules!$A:$A,"12-01",Modules!$I:$I,"Interview-ready")+COUNTIFS(Modules!$A:$A,"12-02",Modules!$I:$I,"Done")+COUNTIFS(Modules!$A:$A,"12-02",Modules!$I:$I,"Interview-ready")</f>
        <v/>
      </c>
      <c r="L17" s="13">
        <f>IF(J17=0,"",K17/J17)</f>
        <v/>
      </c>
      <c r="M17" s="11" t="n"/>
    </row>
    <row r="18">
      <c r="A18" s="11" t="n">
        <v>16</v>
      </c>
      <c r="B18" s="11" t="inlineStr">
        <is>
          <t>Advanced + Capstone</t>
        </is>
      </c>
      <c r="C18" s="11" t="inlineStr">
        <is>
          <t>12 Advanced Topics</t>
        </is>
      </c>
      <c r="D18" s="11" t="inlineStr">
        <is>
          <t>12-03, 12-04, 12-05, 12-06</t>
        </is>
      </c>
      <c r="E18" s="11" t="inlineStr">
        <is>
          <t>Capstone vertical slice</t>
        </is>
      </c>
      <c r="F18" s="11" t="inlineStr">
        <is>
          <t>Full design interview</t>
        </is>
      </c>
      <c r="G18" s="11" t="n">
        <v>14</v>
      </c>
      <c r="H18" s="11" t="inlineStr"/>
      <c r="I18" s="11" t="inlineStr">
        <is>
          <t>Not started</t>
        </is>
      </c>
      <c r="J18" s="11" t="n">
        <v>4</v>
      </c>
      <c r="K18" s="11">
        <f>COUNTIFS(Modules!$A:$A,"12-03",Modules!$I:$I,"Done")+COUNTIFS(Modules!$A:$A,"12-03",Modules!$I:$I,"Interview-ready")+COUNTIFS(Modules!$A:$A,"12-04",Modules!$I:$I,"Done")+COUNTIFS(Modules!$A:$A,"12-04",Modules!$I:$I,"Interview-ready")+COUNTIFS(Modules!$A:$A,"12-05",Modules!$I:$I,"Done")+COUNTIFS(Modules!$A:$A,"12-05",Modules!$I:$I,"Interview-ready")+COUNTIFS(Modules!$A:$A,"12-06",Modules!$I:$I,"Done")+COUNTIFS(Modules!$A:$A,"12-06",Modules!$I:$I,"Interview-ready")</f>
        <v/>
      </c>
      <c r="L18" s="13">
        <f>IF(J18=0,"",K18/J18)</f>
        <v/>
      </c>
      <c r="M18" s="11" t="n"/>
    </row>
    <row r="19">
      <c r="A19" s="11" t="n">
        <v>17</v>
      </c>
      <c r="B19" s="11" t="inlineStr">
        <is>
          <t>Capstone + Mocks</t>
        </is>
      </c>
      <c r="C19" s="11" t="inlineStr">
        <is>
          <t>Capstone</t>
        </is>
      </c>
      <c r="D19" s="11" t="inlineStr">
        <is>
          <t>CAPSTONE</t>
        </is>
      </c>
      <c r="E19" s="11" t="inlineStr">
        <is>
          <t>Capstone v1 + 4 mocks</t>
        </is>
      </c>
      <c r="F19" s="11" t="inlineStr">
        <is>
          <t>Panel simulation</t>
        </is>
      </c>
      <c r="G19" s="11" t="n">
        <v>16</v>
      </c>
      <c r="H19" s="11" t="inlineStr"/>
      <c r="I19" s="11" t="inlineStr">
        <is>
          <t>Not started</t>
        </is>
      </c>
      <c r="J19" s="11" t="n">
        <v>1</v>
      </c>
      <c r="K19" s="11">
        <f>COUNTIFS(Projects!D:D,"Capstone",Projects!F:F,"Done")+COUNTIFS(Projects!D:D,"Capstone",Projects!F:F,"Interview-ready")</f>
        <v/>
      </c>
      <c r="L19" s="13">
        <f>IF(J19=0,"",K19/J19)</f>
        <v/>
      </c>
      <c r="M19" s="11" t="n"/>
    </row>
  </sheetData>
  <autoFilter ref="A1:M19"/>
  <dataValidations count="1">
    <dataValidation sqref="I2:I19" showDropDown="0" showInputMessage="0" showErrorMessage="0" allowBlank="1" type="list">
      <formula1>"Not started,In progress,Done,Interview-ready"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48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24" customWidth="1" min="12" max="12"/>
    <col width="24" customWidth="1" min="13" max="13"/>
    <col width="24" customWidth="1" min="14" max="14"/>
  </cols>
  <sheetData>
    <row r="1">
      <c r="A1" s="9" t="inlineStr">
        <is>
          <t>Date</t>
        </is>
      </c>
      <c r="B1" s="9" t="inlineStr">
        <is>
          <t>Week</t>
        </is>
      </c>
      <c r="C1" s="9" t="inlineStr">
        <is>
          <t>Module Code</t>
        </is>
      </c>
      <c r="D1" s="9" t="inlineStr">
        <is>
          <t>Module Title (auto)</t>
        </is>
      </c>
      <c r="E1" s="9" t="inlineStr">
        <is>
          <t>Track Day</t>
        </is>
      </c>
      <c r="F1" s="9" t="inlineStr">
        <is>
          <t>Concept min</t>
        </is>
      </c>
      <c r="G1" s="9" t="inlineStr">
        <is>
          <t>Build min</t>
        </is>
      </c>
      <c r="H1" s="9" t="inlineStr">
        <is>
          <t>Judgment min</t>
        </is>
      </c>
      <c r="I1" s="9" t="inlineStr">
        <is>
          <t>Interview min</t>
        </is>
      </c>
      <c r="J1" s="9" t="inlineStr">
        <is>
          <t>Total min</t>
        </is>
      </c>
      <c r="K1" s="9" t="inlineStr">
        <is>
          <t>Status</t>
        </is>
      </c>
      <c r="L1" s="9" t="inlineStr">
        <is>
          <t>Blocker</t>
        </is>
      </c>
      <c r="M1" s="9" t="inlineStr">
        <is>
          <t>Win</t>
        </is>
      </c>
      <c r="N1" s="9" t="inlineStr">
        <is>
          <t>Next Action</t>
        </is>
      </c>
    </row>
    <row r="2">
      <c r="A2" s="11" t="n"/>
      <c r="B2" s="11">
        <f>IF(C2="","",IFERROR(VLOOKUP(C2,Modules!$A:$F,6,FALSE),""))</f>
        <v/>
      </c>
      <c r="C2" s="11" t="n"/>
      <c r="D2" s="11">
        <f>IF(C2="","",IFERROR(VLOOKUP(C2,Modules!$A:$B,2,FALSE),""))</f>
        <v/>
      </c>
      <c r="E2" s="11" t="n"/>
      <c r="F2" s="11" t="n"/>
      <c r="G2" s="11" t="n"/>
      <c r="H2" s="11" t="n"/>
      <c r="I2" s="11" t="n"/>
      <c r="J2" s="11">
        <f>SUM(F2:I2)</f>
        <v/>
      </c>
      <c r="K2" s="11" t="inlineStr">
        <is>
          <t>Not started</t>
        </is>
      </c>
      <c r="L2" s="11" t="n"/>
      <c r="M2" s="11" t="n"/>
      <c r="N2" s="11" t="n"/>
    </row>
    <row r="3">
      <c r="A3" s="11" t="n"/>
      <c r="B3" s="11">
        <f>IF(C3="","",IFERROR(VLOOKUP(C3,Modules!$A:$F,6,FALSE),""))</f>
        <v/>
      </c>
      <c r="C3" s="11" t="n"/>
      <c r="D3" s="11">
        <f>IF(C3="","",IFERROR(VLOOKUP(C3,Modules!$A:$B,2,FALSE),""))</f>
        <v/>
      </c>
      <c r="E3" s="11" t="n"/>
      <c r="F3" s="11" t="n"/>
      <c r="G3" s="11" t="n"/>
      <c r="H3" s="11" t="n"/>
      <c r="I3" s="11" t="n"/>
      <c r="J3" s="11">
        <f>SUM(F3:I3)</f>
        <v/>
      </c>
      <c r="K3" s="11" t="inlineStr">
        <is>
          <t>Not started</t>
        </is>
      </c>
      <c r="L3" s="11" t="n"/>
      <c r="M3" s="11" t="n"/>
      <c r="N3" s="11" t="n"/>
    </row>
    <row r="4">
      <c r="A4" s="11" t="n"/>
      <c r="B4" s="11">
        <f>IF(C4="","",IFERROR(VLOOKUP(C4,Modules!$A:$F,6,FALSE),""))</f>
        <v/>
      </c>
      <c r="C4" s="11" t="n"/>
      <c r="D4" s="11">
        <f>IF(C4="","",IFERROR(VLOOKUP(C4,Modules!$A:$B,2,FALSE),""))</f>
        <v/>
      </c>
      <c r="E4" s="11" t="n"/>
      <c r="F4" s="11" t="n"/>
      <c r="G4" s="11" t="n"/>
      <c r="H4" s="11" t="n"/>
      <c r="I4" s="11" t="n"/>
      <c r="J4" s="11">
        <f>SUM(F4:I4)</f>
        <v/>
      </c>
      <c r="K4" s="11" t="inlineStr">
        <is>
          <t>Not started</t>
        </is>
      </c>
      <c r="L4" s="11" t="n"/>
      <c r="M4" s="11" t="n"/>
      <c r="N4" s="11" t="n"/>
    </row>
    <row r="5">
      <c r="A5" s="11" t="n"/>
      <c r="B5" s="11">
        <f>IF(C5="","",IFERROR(VLOOKUP(C5,Modules!$A:$F,6,FALSE),""))</f>
        <v/>
      </c>
      <c r="C5" s="11" t="n"/>
      <c r="D5" s="11">
        <f>IF(C5="","",IFERROR(VLOOKUP(C5,Modules!$A:$B,2,FALSE),""))</f>
        <v/>
      </c>
      <c r="E5" s="11" t="n"/>
      <c r="F5" s="11" t="n"/>
      <c r="G5" s="11" t="n"/>
      <c r="H5" s="11" t="n"/>
      <c r="I5" s="11" t="n"/>
      <c r="J5" s="11">
        <f>SUM(F5:I5)</f>
        <v/>
      </c>
      <c r="K5" s="11" t="inlineStr">
        <is>
          <t>Not started</t>
        </is>
      </c>
      <c r="L5" s="11" t="n"/>
      <c r="M5" s="11" t="n"/>
      <c r="N5" s="11" t="n"/>
    </row>
    <row r="6">
      <c r="A6" s="11" t="n"/>
      <c r="B6" s="11">
        <f>IF(C6="","",IFERROR(VLOOKUP(C6,Modules!$A:$F,6,FALSE),""))</f>
        <v/>
      </c>
      <c r="C6" s="11" t="n"/>
      <c r="D6" s="11">
        <f>IF(C6="","",IFERROR(VLOOKUP(C6,Modules!$A:$B,2,FALSE),""))</f>
        <v/>
      </c>
      <c r="E6" s="11" t="n"/>
      <c r="F6" s="11" t="n"/>
      <c r="G6" s="11" t="n"/>
      <c r="H6" s="11" t="n"/>
      <c r="I6" s="11" t="n"/>
      <c r="J6" s="11">
        <f>SUM(F6:I6)</f>
        <v/>
      </c>
      <c r="K6" s="11" t="inlineStr">
        <is>
          <t>Not started</t>
        </is>
      </c>
      <c r="L6" s="11" t="n"/>
      <c r="M6" s="11" t="n"/>
      <c r="N6" s="11" t="n"/>
    </row>
    <row r="7">
      <c r="A7" s="11" t="n"/>
      <c r="B7" s="11">
        <f>IF(C7="","",IFERROR(VLOOKUP(C7,Modules!$A:$F,6,FALSE),""))</f>
        <v/>
      </c>
      <c r="C7" s="11" t="n"/>
      <c r="D7" s="11">
        <f>IF(C7="","",IFERROR(VLOOKUP(C7,Modules!$A:$B,2,FALSE),""))</f>
        <v/>
      </c>
      <c r="E7" s="11" t="n"/>
      <c r="F7" s="11" t="n"/>
      <c r="G7" s="11" t="n"/>
      <c r="H7" s="11" t="n"/>
      <c r="I7" s="11" t="n"/>
      <c r="J7" s="11">
        <f>SUM(F7:I7)</f>
        <v/>
      </c>
      <c r="K7" s="11" t="inlineStr">
        <is>
          <t>Not started</t>
        </is>
      </c>
      <c r="L7" s="11" t="n"/>
      <c r="M7" s="11" t="n"/>
      <c r="N7" s="11" t="n"/>
    </row>
    <row r="8">
      <c r="A8" s="11" t="n"/>
      <c r="B8" s="11">
        <f>IF(C8="","",IFERROR(VLOOKUP(C8,Modules!$A:$F,6,FALSE),""))</f>
        <v/>
      </c>
      <c r="C8" s="11" t="n"/>
      <c r="D8" s="11">
        <f>IF(C8="","",IFERROR(VLOOKUP(C8,Modules!$A:$B,2,FALSE),""))</f>
        <v/>
      </c>
      <c r="E8" s="11" t="n"/>
      <c r="F8" s="11" t="n"/>
      <c r="G8" s="11" t="n"/>
      <c r="H8" s="11" t="n"/>
      <c r="I8" s="11" t="n"/>
      <c r="J8" s="11">
        <f>SUM(F8:I8)</f>
        <v/>
      </c>
      <c r="K8" s="11" t="inlineStr">
        <is>
          <t>Not started</t>
        </is>
      </c>
      <c r="L8" s="11" t="n"/>
      <c r="M8" s="11" t="n"/>
      <c r="N8" s="11" t="n"/>
    </row>
    <row r="9">
      <c r="A9" s="11" t="n"/>
      <c r="B9" s="11">
        <f>IF(C9="","",IFERROR(VLOOKUP(C9,Modules!$A:$F,6,FALSE),""))</f>
        <v/>
      </c>
      <c r="C9" s="11" t="n"/>
      <c r="D9" s="11">
        <f>IF(C9="","",IFERROR(VLOOKUP(C9,Modules!$A:$B,2,FALSE),""))</f>
        <v/>
      </c>
      <c r="E9" s="11" t="n"/>
      <c r="F9" s="11" t="n"/>
      <c r="G9" s="11" t="n"/>
      <c r="H9" s="11" t="n"/>
      <c r="I9" s="11" t="n"/>
      <c r="J9" s="11">
        <f>SUM(F9:I9)</f>
        <v/>
      </c>
      <c r="K9" s="11" t="inlineStr">
        <is>
          <t>Not started</t>
        </is>
      </c>
      <c r="L9" s="11" t="n"/>
      <c r="M9" s="11" t="n"/>
      <c r="N9" s="11" t="n"/>
    </row>
    <row r="10">
      <c r="A10" s="11" t="n"/>
      <c r="B10" s="11">
        <f>IF(C10="","",IFERROR(VLOOKUP(C10,Modules!$A:$F,6,FALSE),""))</f>
        <v/>
      </c>
      <c r="C10" s="11" t="n"/>
      <c r="D10" s="11">
        <f>IF(C10="","",IFERROR(VLOOKUP(C10,Modules!$A:$B,2,FALSE),""))</f>
        <v/>
      </c>
      <c r="E10" s="11" t="n"/>
      <c r="F10" s="11" t="n"/>
      <c r="G10" s="11" t="n"/>
      <c r="H10" s="11" t="n"/>
      <c r="I10" s="11" t="n"/>
      <c r="J10" s="11">
        <f>SUM(F10:I10)</f>
        <v/>
      </c>
      <c r="K10" s="11" t="inlineStr">
        <is>
          <t>Not started</t>
        </is>
      </c>
      <c r="L10" s="11" t="n"/>
      <c r="M10" s="11" t="n"/>
      <c r="N10" s="11" t="n"/>
    </row>
    <row r="11">
      <c r="A11" s="11" t="n"/>
      <c r="B11" s="11">
        <f>IF(C11="","",IFERROR(VLOOKUP(C11,Modules!$A:$F,6,FALSE),""))</f>
        <v/>
      </c>
      <c r="C11" s="11" t="n"/>
      <c r="D11" s="11">
        <f>IF(C11="","",IFERROR(VLOOKUP(C11,Modules!$A:$B,2,FALSE),""))</f>
        <v/>
      </c>
      <c r="E11" s="11" t="n"/>
      <c r="F11" s="11" t="n"/>
      <c r="G11" s="11" t="n"/>
      <c r="H11" s="11" t="n"/>
      <c r="I11" s="11" t="n"/>
      <c r="J11" s="11">
        <f>SUM(F11:I11)</f>
        <v/>
      </c>
      <c r="K11" s="11" t="inlineStr">
        <is>
          <t>Not started</t>
        </is>
      </c>
      <c r="L11" s="11" t="n"/>
      <c r="M11" s="11" t="n"/>
      <c r="N11" s="11" t="n"/>
    </row>
    <row r="12">
      <c r="A12" s="11" t="n"/>
      <c r="B12" s="11">
        <f>IF(C12="","",IFERROR(VLOOKUP(C12,Modules!$A:$F,6,FALSE),""))</f>
        <v/>
      </c>
      <c r="C12" s="11" t="n"/>
      <c r="D12" s="11">
        <f>IF(C12="","",IFERROR(VLOOKUP(C12,Modules!$A:$B,2,FALSE),""))</f>
        <v/>
      </c>
      <c r="E12" s="11" t="n"/>
      <c r="F12" s="11" t="n"/>
      <c r="G12" s="11" t="n"/>
      <c r="H12" s="11" t="n"/>
      <c r="I12" s="11" t="n"/>
      <c r="J12" s="11">
        <f>SUM(F12:I12)</f>
        <v/>
      </c>
      <c r="K12" s="11" t="inlineStr">
        <is>
          <t>Not started</t>
        </is>
      </c>
      <c r="L12" s="11" t="n"/>
      <c r="M12" s="11" t="n"/>
      <c r="N12" s="11" t="n"/>
    </row>
    <row r="13">
      <c r="A13" s="11" t="n"/>
      <c r="B13" s="11">
        <f>IF(C13="","",IFERROR(VLOOKUP(C13,Modules!$A:$F,6,FALSE),""))</f>
        <v/>
      </c>
      <c r="C13" s="11" t="n"/>
      <c r="D13" s="11">
        <f>IF(C13="","",IFERROR(VLOOKUP(C13,Modules!$A:$B,2,FALSE),""))</f>
        <v/>
      </c>
      <c r="E13" s="11" t="n"/>
      <c r="F13" s="11" t="n"/>
      <c r="G13" s="11" t="n"/>
      <c r="H13" s="11" t="n"/>
      <c r="I13" s="11" t="n"/>
      <c r="J13" s="11">
        <f>SUM(F13:I13)</f>
        <v/>
      </c>
      <c r="K13" s="11" t="inlineStr">
        <is>
          <t>Not started</t>
        </is>
      </c>
      <c r="L13" s="11" t="n"/>
      <c r="M13" s="11" t="n"/>
      <c r="N13" s="11" t="n"/>
    </row>
    <row r="14">
      <c r="A14" s="11" t="n"/>
      <c r="B14" s="11">
        <f>IF(C14="","",IFERROR(VLOOKUP(C14,Modules!$A:$F,6,FALSE),""))</f>
        <v/>
      </c>
      <c r="C14" s="11" t="n"/>
      <c r="D14" s="11">
        <f>IF(C14="","",IFERROR(VLOOKUP(C14,Modules!$A:$B,2,FALSE),""))</f>
        <v/>
      </c>
      <c r="E14" s="11" t="n"/>
      <c r="F14" s="11" t="n"/>
      <c r="G14" s="11" t="n"/>
      <c r="H14" s="11" t="n"/>
      <c r="I14" s="11" t="n"/>
      <c r="J14" s="11">
        <f>SUM(F14:I14)</f>
        <v/>
      </c>
      <c r="K14" s="11" t="inlineStr">
        <is>
          <t>Not started</t>
        </is>
      </c>
      <c r="L14" s="11" t="n"/>
      <c r="M14" s="11" t="n"/>
      <c r="N14" s="11" t="n"/>
    </row>
    <row r="15">
      <c r="A15" s="11" t="n"/>
      <c r="B15" s="11">
        <f>IF(C15="","",IFERROR(VLOOKUP(C15,Modules!$A:$F,6,FALSE),""))</f>
        <v/>
      </c>
      <c r="C15" s="11" t="n"/>
      <c r="D15" s="11">
        <f>IF(C15="","",IFERROR(VLOOKUP(C15,Modules!$A:$B,2,FALSE),""))</f>
        <v/>
      </c>
      <c r="E15" s="11" t="n"/>
      <c r="F15" s="11" t="n"/>
      <c r="G15" s="11" t="n"/>
      <c r="H15" s="11" t="n"/>
      <c r="I15" s="11" t="n"/>
      <c r="J15" s="11">
        <f>SUM(F15:I15)</f>
        <v/>
      </c>
      <c r="K15" s="11" t="inlineStr">
        <is>
          <t>Not started</t>
        </is>
      </c>
      <c r="L15" s="11" t="n"/>
      <c r="M15" s="11" t="n"/>
      <c r="N15" s="11" t="n"/>
    </row>
    <row r="16">
      <c r="A16" s="11" t="n"/>
      <c r="B16" s="11">
        <f>IF(C16="","",IFERROR(VLOOKUP(C16,Modules!$A:$F,6,FALSE),""))</f>
        <v/>
      </c>
      <c r="C16" s="11" t="n"/>
      <c r="D16" s="11">
        <f>IF(C16="","",IFERROR(VLOOKUP(C16,Modules!$A:$B,2,FALSE),""))</f>
        <v/>
      </c>
      <c r="E16" s="11" t="n"/>
      <c r="F16" s="11" t="n"/>
      <c r="G16" s="11" t="n"/>
      <c r="H16" s="11" t="n"/>
      <c r="I16" s="11" t="n"/>
      <c r="J16" s="11">
        <f>SUM(F16:I16)</f>
        <v/>
      </c>
      <c r="K16" s="11" t="inlineStr">
        <is>
          <t>Not started</t>
        </is>
      </c>
      <c r="L16" s="11" t="n"/>
      <c r="M16" s="11" t="n"/>
      <c r="N16" s="11" t="n"/>
    </row>
    <row r="17">
      <c r="A17" s="11" t="n"/>
      <c r="B17" s="11">
        <f>IF(C17="","",IFERROR(VLOOKUP(C17,Modules!$A:$F,6,FALSE),""))</f>
        <v/>
      </c>
      <c r="C17" s="11" t="n"/>
      <c r="D17" s="11">
        <f>IF(C17="","",IFERROR(VLOOKUP(C17,Modules!$A:$B,2,FALSE),""))</f>
        <v/>
      </c>
      <c r="E17" s="11" t="n"/>
      <c r="F17" s="11" t="n"/>
      <c r="G17" s="11" t="n"/>
      <c r="H17" s="11" t="n"/>
      <c r="I17" s="11" t="n"/>
      <c r="J17" s="11">
        <f>SUM(F17:I17)</f>
        <v/>
      </c>
      <c r="K17" s="11" t="inlineStr">
        <is>
          <t>Not started</t>
        </is>
      </c>
      <c r="L17" s="11" t="n"/>
      <c r="M17" s="11" t="n"/>
      <c r="N17" s="11" t="n"/>
    </row>
    <row r="18">
      <c r="A18" s="11" t="n"/>
      <c r="B18" s="11">
        <f>IF(C18="","",IFERROR(VLOOKUP(C18,Modules!$A:$F,6,FALSE),""))</f>
        <v/>
      </c>
      <c r="C18" s="11" t="n"/>
      <c r="D18" s="11">
        <f>IF(C18="","",IFERROR(VLOOKUP(C18,Modules!$A:$B,2,FALSE),""))</f>
        <v/>
      </c>
      <c r="E18" s="11" t="n"/>
      <c r="F18" s="11" t="n"/>
      <c r="G18" s="11" t="n"/>
      <c r="H18" s="11" t="n"/>
      <c r="I18" s="11" t="n"/>
      <c r="J18" s="11">
        <f>SUM(F18:I18)</f>
        <v/>
      </c>
      <c r="K18" s="11" t="inlineStr">
        <is>
          <t>Not started</t>
        </is>
      </c>
      <c r="L18" s="11" t="n"/>
      <c r="M18" s="11" t="n"/>
      <c r="N18" s="11" t="n"/>
    </row>
    <row r="19">
      <c r="A19" s="11" t="n"/>
      <c r="B19" s="11">
        <f>IF(C19="","",IFERROR(VLOOKUP(C19,Modules!$A:$F,6,FALSE),""))</f>
        <v/>
      </c>
      <c r="C19" s="11" t="n"/>
      <c r="D19" s="11">
        <f>IF(C19="","",IFERROR(VLOOKUP(C19,Modules!$A:$B,2,FALSE),""))</f>
        <v/>
      </c>
      <c r="E19" s="11" t="n"/>
      <c r="F19" s="11" t="n"/>
      <c r="G19" s="11" t="n"/>
      <c r="H19" s="11" t="n"/>
      <c r="I19" s="11" t="n"/>
      <c r="J19" s="11">
        <f>SUM(F19:I19)</f>
        <v/>
      </c>
      <c r="K19" s="11" t="inlineStr">
        <is>
          <t>Not started</t>
        </is>
      </c>
      <c r="L19" s="11" t="n"/>
      <c r="M19" s="11" t="n"/>
      <c r="N19" s="11" t="n"/>
    </row>
    <row r="20">
      <c r="A20" s="11" t="n"/>
      <c r="B20" s="11">
        <f>IF(C20="","",IFERROR(VLOOKUP(C20,Modules!$A:$F,6,FALSE),""))</f>
        <v/>
      </c>
      <c r="C20" s="11" t="n"/>
      <c r="D20" s="11">
        <f>IF(C20="","",IFERROR(VLOOKUP(C20,Modules!$A:$B,2,FALSE),""))</f>
        <v/>
      </c>
      <c r="E20" s="11" t="n"/>
      <c r="F20" s="11" t="n"/>
      <c r="G20" s="11" t="n"/>
      <c r="H20" s="11" t="n"/>
      <c r="I20" s="11" t="n"/>
      <c r="J20" s="11">
        <f>SUM(F20:I20)</f>
        <v/>
      </c>
      <c r="K20" s="11" t="inlineStr">
        <is>
          <t>Not started</t>
        </is>
      </c>
      <c r="L20" s="11" t="n"/>
      <c r="M20" s="11" t="n"/>
      <c r="N20" s="11" t="n"/>
    </row>
    <row r="21">
      <c r="A21" s="11" t="n"/>
      <c r="B21" s="11">
        <f>IF(C21="","",IFERROR(VLOOKUP(C21,Modules!$A:$F,6,FALSE),""))</f>
        <v/>
      </c>
      <c r="C21" s="11" t="n"/>
      <c r="D21" s="11">
        <f>IF(C21="","",IFERROR(VLOOKUP(C21,Modules!$A:$B,2,FALSE),""))</f>
        <v/>
      </c>
      <c r="E21" s="11" t="n"/>
      <c r="F21" s="11" t="n"/>
      <c r="G21" s="11" t="n"/>
      <c r="H21" s="11" t="n"/>
      <c r="I21" s="11" t="n"/>
      <c r="J21" s="11">
        <f>SUM(F21:I21)</f>
        <v/>
      </c>
      <c r="K21" s="11" t="inlineStr">
        <is>
          <t>Not started</t>
        </is>
      </c>
      <c r="L21" s="11" t="n"/>
      <c r="M21" s="11" t="n"/>
      <c r="N21" s="11" t="n"/>
    </row>
    <row r="22">
      <c r="A22" s="11" t="n"/>
      <c r="B22" s="11">
        <f>IF(C22="","",IFERROR(VLOOKUP(C22,Modules!$A:$F,6,FALSE),""))</f>
        <v/>
      </c>
      <c r="C22" s="11" t="n"/>
      <c r="D22" s="11">
        <f>IF(C22="","",IFERROR(VLOOKUP(C22,Modules!$A:$B,2,FALSE),""))</f>
        <v/>
      </c>
      <c r="E22" s="11" t="n"/>
      <c r="F22" s="11" t="n"/>
      <c r="G22" s="11" t="n"/>
      <c r="H22" s="11" t="n"/>
      <c r="I22" s="11" t="n"/>
      <c r="J22" s="11">
        <f>SUM(F22:I22)</f>
        <v/>
      </c>
      <c r="K22" s="11" t="inlineStr">
        <is>
          <t>Not started</t>
        </is>
      </c>
      <c r="L22" s="11" t="n"/>
      <c r="M22" s="11" t="n"/>
      <c r="N22" s="11" t="n"/>
    </row>
    <row r="23">
      <c r="A23" s="11" t="n"/>
      <c r="B23" s="11">
        <f>IF(C23="","",IFERROR(VLOOKUP(C23,Modules!$A:$F,6,FALSE),""))</f>
        <v/>
      </c>
      <c r="C23" s="11" t="n"/>
      <c r="D23" s="11">
        <f>IF(C23="","",IFERROR(VLOOKUP(C23,Modules!$A:$B,2,FALSE),""))</f>
        <v/>
      </c>
      <c r="E23" s="11" t="n"/>
      <c r="F23" s="11" t="n"/>
      <c r="G23" s="11" t="n"/>
      <c r="H23" s="11" t="n"/>
      <c r="I23" s="11" t="n"/>
      <c r="J23" s="11">
        <f>SUM(F23:I23)</f>
        <v/>
      </c>
      <c r="K23" s="11" t="inlineStr">
        <is>
          <t>Not started</t>
        </is>
      </c>
      <c r="L23" s="11" t="n"/>
      <c r="M23" s="11" t="n"/>
      <c r="N23" s="11" t="n"/>
    </row>
    <row r="24">
      <c r="A24" s="11" t="n"/>
      <c r="B24" s="11">
        <f>IF(C24="","",IFERROR(VLOOKUP(C24,Modules!$A:$F,6,FALSE),""))</f>
        <v/>
      </c>
      <c r="C24" s="11" t="n"/>
      <c r="D24" s="11">
        <f>IF(C24="","",IFERROR(VLOOKUP(C24,Modules!$A:$B,2,FALSE),""))</f>
        <v/>
      </c>
      <c r="E24" s="11" t="n"/>
      <c r="F24" s="11" t="n"/>
      <c r="G24" s="11" t="n"/>
      <c r="H24" s="11" t="n"/>
      <c r="I24" s="11" t="n"/>
      <c r="J24" s="11">
        <f>SUM(F24:I24)</f>
        <v/>
      </c>
      <c r="K24" s="11" t="inlineStr">
        <is>
          <t>Not started</t>
        </is>
      </c>
      <c r="L24" s="11" t="n"/>
      <c r="M24" s="11" t="n"/>
      <c r="N24" s="11" t="n"/>
    </row>
    <row r="25">
      <c r="A25" s="11" t="n"/>
      <c r="B25" s="11">
        <f>IF(C25="","",IFERROR(VLOOKUP(C25,Modules!$A:$F,6,FALSE),""))</f>
        <v/>
      </c>
      <c r="C25" s="11" t="n"/>
      <c r="D25" s="11">
        <f>IF(C25="","",IFERROR(VLOOKUP(C25,Modules!$A:$B,2,FALSE),""))</f>
        <v/>
      </c>
      <c r="E25" s="11" t="n"/>
      <c r="F25" s="11" t="n"/>
      <c r="G25" s="11" t="n"/>
      <c r="H25" s="11" t="n"/>
      <c r="I25" s="11" t="n"/>
      <c r="J25" s="11">
        <f>SUM(F25:I25)</f>
        <v/>
      </c>
      <c r="K25" s="11" t="inlineStr">
        <is>
          <t>Not started</t>
        </is>
      </c>
      <c r="L25" s="11" t="n"/>
      <c r="M25" s="11" t="n"/>
      <c r="N25" s="11" t="n"/>
    </row>
    <row r="26">
      <c r="A26" s="11" t="n"/>
      <c r="B26" s="11">
        <f>IF(C26="","",IFERROR(VLOOKUP(C26,Modules!$A:$F,6,FALSE),""))</f>
        <v/>
      </c>
      <c r="C26" s="11" t="n"/>
      <c r="D26" s="11">
        <f>IF(C26="","",IFERROR(VLOOKUP(C26,Modules!$A:$B,2,FALSE),""))</f>
        <v/>
      </c>
      <c r="E26" s="11" t="n"/>
      <c r="F26" s="11" t="n"/>
      <c r="G26" s="11" t="n"/>
      <c r="H26" s="11" t="n"/>
      <c r="I26" s="11" t="n"/>
      <c r="J26" s="11">
        <f>SUM(F26:I26)</f>
        <v/>
      </c>
      <c r="K26" s="11" t="inlineStr">
        <is>
          <t>Not started</t>
        </is>
      </c>
      <c r="L26" s="11" t="n"/>
      <c r="M26" s="11" t="n"/>
      <c r="N26" s="11" t="n"/>
    </row>
    <row r="27">
      <c r="A27" s="11" t="n"/>
      <c r="B27" s="11">
        <f>IF(C27="","",IFERROR(VLOOKUP(C27,Modules!$A:$F,6,FALSE),""))</f>
        <v/>
      </c>
      <c r="C27" s="11" t="n"/>
      <c r="D27" s="11">
        <f>IF(C27="","",IFERROR(VLOOKUP(C27,Modules!$A:$B,2,FALSE),""))</f>
        <v/>
      </c>
      <c r="E27" s="11" t="n"/>
      <c r="F27" s="11" t="n"/>
      <c r="G27" s="11" t="n"/>
      <c r="H27" s="11" t="n"/>
      <c r="I27" s="11" t="n"/>
      <c r="J27" s="11">
        <f>SUM(F27:I27)</f>
        <v/>
      </c>
      <c r="K27" s="11" t="inlineStr">
        <is>
          <t>Not started</t>
        </is>
      </c>
      <c r="L27" s="11" t="n"/>
      <c r="M27" s="11" t="n"/>
      <c r="N27" s="11" t="n"/>
    </row>
    <row r="28">
      <c r="A28" s="11" t="n"/>
      <c r="B28" s="11">
        <f>IF(C28="","",IFERROR(VLOOKUP(C28,Modules!$A:$F,6,FALSE),""))</f>
        <v/>
      </c>
      <c r="C28" s="11" t="n"/>
      <c r="D28" s="11">
        <f>IF(C28="","",IFERROR(VLOOKUP(C28,Modules!$A:$B,2,FALSE),""))</f>
        <v/>
      </c>
      <c r="E28" s="11" t="n"/>
      <c r="F28" s="11" t="n"/>
      <c r="G28" s="11" t="n"/>
      <c r="H28" s="11" t="n"/>
      <c r="I28" s="11" t="n"/>
      <c r="J28" s="11">
        <f>SUM(F28:I28)</f>
        <v/>
      </c>
      <c r="K28" s="11" t="inlineStr">
        <is>
          <t>Not started</t>
        </is>
      </c>
      <c r="L28" s="11" t="n"/>
      <c r="M28" s="11" t="n"/>
      <c r="N28" s="11" t="n"/>
    </row>
    <row r="29">
      <c r="A29" s="11" t="n"/>
      <c r="B29" s="11">
        <f>IF(C29="","",IFERROR(VLOOKUP(C29,Modules!$A:$F,6,FALSE),""))</f>
        <v/>
      </c>
      <c r="C29" s="11" t="n"/>
      <c r="D29" s="11">
        <f>IF(C29="","",IFERROR(VLOOKUP(C29,Modules!$A:$B,2,FALSE),""))</f>
        <v/>
      </c>
      <c r="E29" s="11" t="n"/>
      <c r="F29" s="11" t="n"/>
      <c r="G29" s="11" t="n"/>
      <c r="H29" s="11" t="n"/>
      <c r="I29" s="11" t="n"/>
      <c r="J29" s="11">
        <f>SUM(F29:I29)</f>
        <v/>
      </c>
      <c r="K29" s="11" t="inlineStr">
        <is>
          <t>Not started</t>
        </is>
      </c>
      <c r="L29" s="11" t="n"/>
      <c r="M29" s="11" t="n"/>
      <c r="N29" s="11" t="n"/>
    </row>
    <row r="30">
      <c r="A30" s="11" t="n"/>
      <c r="B30" s="11">
        <f>IF(C30="","",IFERROR(VLOOKUP(C30,Modules!$A:$F,6,FALSE),""))</f>
        <v/>
      </c>
      <c r="C30" s="11" t="n"/>
      <c r="D30" s="11">
        <f>IF(C30="","",IFERROR(VLOOKUP(C30,Modules!$A:$B,2,FALSE),""))</f>
        <v/>
      </c>
      <c r="E30" s="11" t="n"/>
      <c r="F30" s="11" t="n"/>
      <c r="G30" s="11" t="n"/>
      <c r="H30" s="11" t="n"/>
      <c r="I30" s="11" t="n"/>
      <c r="J30" s="11">
        <f>SUM(F30:I30)</f>
        <v/>
      </c>
      <c r="K30" s="11" t="inlineStr">
        <is>
          <t>Not started</t>
        </is>
      </c>
      <c r="L30" s="11" t="n"/>
      <c r="M30" s="11" t="n"/>
      <c r="N30" s="11" t="n"/>
    </row>
    <row r="31">
      <c r="A31" s="11" t="n"/>
      <c r="B31" s="11">
        <f>IF(C31="","",IFERROR(VLOOKUP(C31,Modules!$A:$F,6,FALSE),""))</f>
        <v/>
      </c>
      <c r="C31" s="11" t="n"/>
      <c r="D31" s="11">
        <f>IF(C31="","",IFERROR(VLOOKUP(C31,Modules!$A:$B,2,FALSE),""))</f>
        <v/>
      </c>
      <c r="E31" s="11" t="n"/>
      <c r="F31" s="11" t="n"/>
      <c r="G31" s="11" t="n"/>
      <c r="H31" s="11" t="n"/>
      <c r="I31" s="11" t="n"/>
      <c r="J31" s="11">
        <f>SUM(F31:I31)</f>
        <v/>
      </c>
      <c r="K31" s="11" t="inlineStr">
        <is>
          <t>Not started</t>
        </is>
      </c>
      <c r="L31" s="11" t="n"/>
      <c r="M31" s="11" t="n"/>
      <c r="N31" s="11" t="n"/>
    </row>
    <row r="32">
      <c r="A32" s="11" t="n"/>
      <c r="B32" s="11">
        <f>IF(C32="","",IFERROR(VLOOKUP(C32,Modules!$A:$F,6,FALSE),""))</f>
        <v/>
      </c>
      <c r="C32" s="11" t="n"/>
      <c r="D32" s="11">
        <f>IF(C32="","",IFERROR(VLOOKUP(C32,Modules!$A:$B,2,FALSE),""))</f>
        <v/>
      </c>
      <c r="E32" s="11" t="n"/>
      <c r="F32" s="11" t="n"/>
      <c r="G32" s="11" t="n"/>
      <c r="H32" s="11" t="n"/>
      <c r="I32" s="11" t="n"/>
      <c r="J32" s="11">
        <f>SUM(F32:I32)</f>
        <v/>
      </c>
      <c r="K32" s="11" t="inlineStr">
        <is>
          <t>Not started</t>
        </is>
      </c>
      <c r="L32" s="11" t="n"/>
      <c r="M32" s="11" t="n"/>
      <c r="N32" s="11" t="n"/>
    </row>
    <row r="33">
      <c r="A33" s="11" t="n"/>
      <c r="B33" s="11">
        <f>IF(C33="","",IFERROR(VLOOKUP(C33,Modules!$A:$F,6,FALSE),""))</f>
        <v/>
      </c>
      <c r="C33" s="11" t="n"/>
      <c r="D33" s="11">
        <f>IF(C33="","",IFERROR(VLOOKUP(C33,Modules!$A:$B,2,FALSE),""))</f>
        <v/>
      </c>
      <c r="E33" s="11" t="n"/>
      <c r="F33" s="11" t="n"/>
      <c r="G33" s="11" t="n"/>
      <c r="H33" s="11" t="n"/>
      <c r="I33" s="11" t="n"/>
      <c r="J33" s="11">
        <f>SUM(F33:I33)</f>
        <v/>
      </c>
      <c r="K33" s="11" t="inlineStr">
        <is>
          <t>Not started</t>
        </is>
      </c>
      <c r="L33" s="11" t="n"/>
      <c r="M33" s="11" t="n"/>
      <c r="N33" s="11" t="n"/>
    </row>
    <row r="34">
      <c r="A34" s="11" t="n"/>
      <c r="B34" s="11">
        <f>IF(C34="","",IFERROR(VLOOKUP(C34,Modules!$A:$F,6,FALSE),""))</f>
        <v/>
      </c>
      <c r="C34" s="11" t="n"/>
      <c r="D34" s="11">
        <f>IF(C34="","",IFERROR(VLOOKUP(C34,Modules!$A:$B,2,FALSE),""))</f>
        <v/>
      </c>
      <c r="E34" s="11" t="n"/>
      <c r="F34" s="11" t="n"/>
      <c r="G34" s="11" t="n"/>
      <c r="H34" s="11" t="n"/>
      <c r="I34" s="11" t="n"/>
      <c r="J34" s="11">
        <f>SUM(F34:I34)</f>
        <v/>
      </c>
      <c r="K34" s="11" t="inlineStr">
        <is>
          <t>Not started</t>
        </is>
      </c>
      <c r="L34" s="11" t="n"/>
      <c r="M34" s="11" t="n"/>
      <c r="N34" s="11" t="n"/>
    </row>
    <row r="35">
      <c r="A35" s="11" t="n"/>
      <c r="B35" s="11">
        <f>IF(C35="","",IFERROR(VLOOKUP(C35,Modules!$A:$F,6,FALSE),""))</f>
        <v/>
      </c>
      <c r="C35" s="11" t="n"/>
      <c r="D35" s="11">
        <f>IF(C35="","",IFERROR(VLOOKUP(C35,Modules!$A:$B,2,FALSE),""))</f>
        <v/>
      </c>
      <c r="E35" s="11" t="n"/>
      <c r="F35" s="11" t="n"/>
      <c r="G35" s="11" t="n"/>
      <c r="H35" s="11" t="n"/>
      <c r="I35" s="11" t="n"/>
      <c r="J35" s="11">
        <f>SUM(F35:I35)</f>
        <v/>
      </c>
      <c r="K35" s="11" t="inlineStr">
        <is>
          <t>Not started</t>
        </is>
      </c>
      <c r="L35" s="11" t="n"/>
      <c r="M35" s="11" t="n"/>
      <c r="N35" s="11" t="n"/>
    </row>
    <row r="36">
      <c r="A36" s="11" t="n"/>
      <c r="B36" s="11">
        <f>IF(C36="","",IFERROR(VLOOKUP(C36,Modules!$A:$F,6,FALSE),""))</f>
        <v/>
      </c>
      <c r="C36" s="11" t="n"/>
      <c r="D36" s="11">
        <f>IF(C36="","",IFERROR(VLOOKUP(C36,Modules!$A:$B,2,FALSE),""))</f>
        <v/>
      </c>
      <c r="E36" s="11" t="n"/>
      <c r="F36" s="11" t="n"/>
      <c r="G36" s="11" t="n"/>
      <c r="H36" s="11" t="n"/>
      <c r="I36" s="11" t="n"/>
      <c r="J36" s="11">
        <f>SUM(F36:I36)</f>
        <v/>
      </c>
      <c r="K36" s="11" t="inlineStr">
        <is>
          <t>Not started</t>
        </is>
      </c>
      <c r="L36" s="11" t="n"/>
      <c r="M36" s="11" t="n"/>
      <c r="N36" s="11" t="n"/>
    </row>
    <row r="37">
      <c r="A37" s="11" t="n"/>
      <c r="B37" s="11">
        <f>IF(C37="","",IFERROR(VLOOKUP(C37,Modules!$A:$F,6,FALSE),""))</f>
        <v/>
      </c>
      <c r="C37" s="11" t="n"/>
      <c r="D37" s="11">
        <f>IF(C37="","",IFERROR(VLOOKUP(C37,Modules!$A:$B,2,FALSE),""))</f>
        <v/>
      </c>
      <c r="E37" s="11" t="n"/>
      <c r="F37" s="11" t="n"/>
      <c r="G37" s="11" t="n"/>
      <c r="H37" s="11" t="n"/>
      <c r="I37" s="11" t="n"/>
      <c r="J37" s="11">
        <f>SUM(F37:I37)</f>
        <v/>
      </c>
      <c r="K37" s="11" t="inlineStr">
        <is>
          <t>Not started</t>
        </is>
      </c>
      <c r="L37" s="11" t="n"/>
      <c r="M37" s="11" t="n"/>
      <c r="N37" s="11" t="n"/>
    </row>
    <row r="38">
      <c r="A38" s="11" t="n"/>
      <c r="B38" s="11">
        <f>IF(C38="","",IFERROR(VLOOKUP(C38,Modules!$A:$F,6,FALSE),""))</f>
        <v/>
      </c>
      <c r="C38" s="11" t="n"/>
      <c r="D38" s="11">
        <f>IF(C38="","",IFERROR(VLOOKUP(C38,Modules!$A:$B,2,FALSE),""))</f>
        <v/>
      </c>
      <c r="E38" s="11" t="n"/>
      <c r="F38" s="11" t="n"/>
      <c r="G38" s="11" t="n"/>
      <c r="H38" s="11" t="n"/>
      <c r="I38" s="11" t="n"/>
      <c r="J38" s="11">
        <f>SUM(F38:I38)</f>
        <v/>
      </c>
      <c r="K38" s="11" t="inlineStr">
        <is>
          <t>Not started</t>
        </is>
      </c>
      <c r="L38" s="11" t="n"/>
      <c r="M38" s="11" t="n"/>
      <c r="N38" s="11" t="n"/>
    </row>
    <row r="39">
      <c r="A39" s="11" t="n"/>
      <c r="B39" s="11">
        <f>IF(C39="","",IFERROR(VLOOKUP(C39,Modules!$A:$F,6,FALSE),""))</f>
        <v/>
      </c>
      <c r="C39" s="11" t="n"/>
      <c r="D39" s="11">
        <f>IF(C39="","",IFERROR(VLOOKUP(C39,Modules!$A:$B,2,FALSE),""))</f>
        <v/>
      </c>
      <c r="E39" s="11" t="n"/>
      <c r="F39" s="11" t="n"/>
      <c r="G39" s="11" t="n"/>
      <c r="H39" s="11" t="n"/>
      <c r="I39" s="11" t="n"/>
      <c r="J39" s="11">
        <f>SUM(F39:I39)</f>
        <v/>
      </c>
      <c r="K39" s="11" t="inlineStr">
        <is>
          <t>Not started</t>
        </is>
      </c>
      <c r="L39" s="11" t="n"/>
      <c r="M39" s="11" t="n"/>
      <c r="N39" s="11" t="n"/>
    </row>
    <row r="40">
      <c r="A40" s="11" t="n"/>
      <c r="B40" s="11">
        <f>IF(C40="","",IFERROR(VLOOKUP(C40,Modules!$A:$F,6,FALSE),""))</f>
        <v/>
      </c>
      <c r="C40" s="11" t="n"/>
      <c r="D40" s="11">
        <f>IF(C40="","",IFERROR(VLOOKUP(C40,Modules!$A:$B,2,FALSE),""))</f>
        <v/>
      </c>
      <c r="E40" s="11" t="n"/>
      <c r="F40" s="11" t="n"/>
      <c r="G40" s="11" t="n"/>
      <c r="H40" s="11" t="n"/>
      <c r="I40" s="11" t="n"/>
      <c r="J40" s="11">
        <f>SUM(F40:I40)</f>
        <v/>
      </c>
      <c r="K40" s="11" t="inlineStr">
        <is>
          <t>Not started</t>
        </is>
      </c>
      <c r="L40" s="11" t="n"/>
      <c r="M40" s="11" t="n"/>
      <c r="N40" s="11" t="n"/>
    </row>
    <row r="41">
      <c r="A41" s="11" t="n"/>
      <c r="B41" s="11">
        <f>IF(C41="","",IFERROR(VLOOKUP(C41,Modules!$A:$F,6,FALSE),""))</f>
        <v/>
      </c>
      <c r="C41" s="11" t="n"/>
      <c r="D41" s="11">
        <f>IF(C41="","",IFERROR(VLOOKUP(C41,Modules!$A:$B,2,FALSE),""))</f>
        <v/>
      </c>
      <c r="E41" s="11" t="n"/>
      <c r="F41" s="11" t="n"/>
      <c r="G41" s="11" t="n"/>
      <c r="H41" s="11" t="n"/>
      <c r="I41" s="11" t="n"/>
      <c r="J41" s="11">
        <f>SUM(F41:I41)</f>
        <v/>
      </c>
      <c r="K41" s="11" t="inlineStr">
        <is>
          <t>Not started</t>
        </is>
      </c>
      <c r="L41" s="11" t="n"/>
      <c r="M41" s="11" t="n"/>
      <c r="N41" s="11" t="n"/>
    </row>
    <row r="42">
      <c r="A42" s="11" t="n"/>
      <c r="B42" s="11">
        <f>IF(C42="","",IFERROR(VLOOKUP(C42,Modules!$A:$F,6,FALSE),""))</f>
        <v/>
      </c>
      <c r="C42" s="11" t="n"/>
      <c r="D42" s="11">
        <f>IF(C42="","",IFERROR(VLOOKUP(C42,Modules!$A:$B,2,FALSE),""))</f>
        <v/>
      </c>
      <c r="E42" s="11" t="n"/>
      <c r="F42" s="11" t="n"/>
      <c r="G42" s="11" t="n"/>
      <c r="H42" s="11" t="n"/>
      <c r="I42" s="11" t="n"/>
      <c r="J42" s="11">
        <f>SUM(F42:I42)</f>
        <v/>
      </c>
      <c r="K42" s="11" t="inlineStr">
        <is>
          <t>Not started</t>
        </is>
      </c>
      <c r="L42" s="11" t="n"/>
      <c r="M42" s="11" t="n"/>
      <c r="N42" s="11" t="n"/>
    </row>
    <row r="43">
      <c r="A43" s="11" t="n"/>
      <c r="B43" s="11">
        <f>IF(C43="","",IFERROR(VLOOKUP(C43,Modules!$A:$F,6,FALSE),""))</f>
        <v/>
      </c>
      <c r="C43" s="11" t="n"/>
      <c r="D43" s="11">
        <f>IF(C43="","",IFERROR(VLOOKUP(C43,Modules!$A:$B,2,FALSE),""))</f>
        <v/>
      </c>
      <c r="E43" s="11" t="n"/>
      <c r="F43" s="11" t="n"/>
      <c r="G43" s="11" t="n"/>
      <c r="H43" s="11" t="n"/>
      <c r="I43" s="11" t="n"/>
      <c r="J43" s="11">
        <f>SUM(F43:I43)</f>
        <v/>
      </c>
      <c r="K43" s="11" t="inlineStr">
        <is>
          <t>Not started</t>
        </is>
      </c>
      <c r="L43" s="11" t="n"/>
      <c r="M43" s="11" t="n"/>
      <c r="N43" s="11" t="n"/>
    </row>
    <row r="44">
      <c r="A44" s="11" t="n"/>
      <c r="B44" s="11">
        <f>IF(C44="","",IFERROR(VLOOKUP(C44,Modules!$A:$F,6,FALSE),""))</f>
        <v/>
      </c>
      <c r="C44" s="11" t="n"/>
      <c r="D44" s="11">
        <f>IF(C44="","",IFERROR(VLOOKUP(C44,Modules!$A:$B,2,FALSE),""))</f>
        <v/>
      </c>
      <c r="E44" s="11" t="n"/>
      <c r="F44" s="11" t="n"/>
      <c r="G44" s="11" t="n"/>
      <c r="H44" s="11" t="n"/>
      <c r="I44" s="11" t="n"/>
      <c r="J44" s="11">
        <f>SUM(F44:I44)</f>
        <v/>
      </c>
      <c r="K44" s="11" t="inlineStr">
        <is>
          <t>Not started</t>
        </is>
      </c>
      <c r="L44" s="11" t="n"/>
      <c r="M44" s="11" t="n"/>
      <c r="N44" s="11" t="n"/>
    </row>
    <row r="45">
      <c r="A45" s="11" t="n"/>
      <c r="B45" s="11">
        <f>IF(C45="","",IFERROR(VLOOKUP(C45,Modules!$A:$F,6,FALSE),""))</f>
        <v/>
      </c>
      <c r="C45" s="11" t="n"/>
      <c r="D45" s="11">
        <f>IF(C45="","",IFERROR(VLOOKUP(C45,Modules!$A:$B,2,FALSE),""))</f>
        <v/>
      </c>
      <c r="E45" s="11" t="n"/>
      <c r="F45" s="11" t="n"/>
      <c r="G45" s="11" t="n"/>
      <c r="H45" s="11" t="n"/>
      <c r="I45" s="11" t="n"/>
      <c r="J45" s="11">
        <f>SUM(F45:I45)</f>
        <v/>
      </c>
      <c r="K45" s="11" t="inlineStr">
        <is>
          <t>Not started</t>
        </is>
      </c>
      <c r="L45" s="11" t="n"/>
      <c r="M45" s="11" t="n"/>
      <c r="N45" s="11" t="n"/>
    </row>
    <row r="46">
      <c r="A46" s="11" t="n"/>
      <c r="B46" s="11">
        <f>IF(C46="","",IFERROR(VLOOKUP(C46,Modules!$A:$F,6,FALSE),""))</f>
        <v/>
      </c>
      <c r="C46" s="11" t="n"/>
      <c r="D46" s="11">
        <f>IF(C46="","",IFERROR(VLOOKUP(C46,Modules!$A:$B,2,FALSE),""))</f>
        <v/>
      </c>
      <c r="E46" s="11" t="n"/>
      <c r="F46" s="11" t="n"/>
      <c r="G46" s="11" t="n"/>
      <c r="H46" s="11" t="n"/>
      <c r="I46" s="11" t="n"/>
      <c r="J46" s="11">
        <f>SUM(F46:I46)</f>
        <v/>
      </c>
      <c r="K46" s="11" t="inlineStr">
        <is>
          <t>Not started</t>
        </is>
      </c>
      <c r="L46" s="11" t="n"/>
      <c r="M46" s="11" t="n"/>
      <c r="N46" s="11" t="n"/>
    </row>
    <row r="47">
      <c r="A47" s="11" t="n"/>
      <c r="B47" s="11">
        <f>IF(C47="","",IFERROR(VLOOKUP(C47,Modules!$A:$F,6,FALSE),""))</f>
        <v/>
      </c>
      <c r="C47" s="11" t="n"/>
      <c r="D47" s="11">
        <f>IF(C47="","",IFERROR(VLOOKUP(C47,Modules!$A:$B,2,FALSE),""))</f>
        <v/>
      </c>
      <c r="E47" s="11" t="n"/>
      <c r="F47" s="11" t="n"/>
      <c r="G47" s="11" t="n"/>
      <c r="H47" s="11" t="n"/>
      <c r="I47" s="11" t="n"/>
      <c r="J47" s="11">
        <f>SUM(F47:I47)</f>
        <v/>
      </c>
      <c r="K47" s="11" t="inlineStr">
        <is>
          <t>Not started</t>
        </is>
      </c>
      <c r="L47" s="11" t="n"/>
      <c r="M47" s="11" t="n"/>
      <c r="N47" s="11" t="n"/>
    </row>
    <row r="48">
      <c r="A48" s="11" t="n"/>
      <c r="B48" s="11">
        <f>IF(C48="","",IFERROR(VLOOKUP(C48,Modules!$A:$F,6,FALSE),""))</f>
        <v/>
      </c>
      <c r="C48" s="11" t="n"/>
      <c r="D48" s="11">
        <f>IF(C48="","",IFERROR(VLOOKUP(C48,Modules!$A:$B,2,FALSE),""))</f>
        <v/>
      </c>
      <c r="E48" s="11" t="n"/>
      <c r="F48" s="11" t="n"/>
      <c r="G48" s="11" t="n"/>
      <c r="H48" s="11" t="n"/>
      <c r="I48" s="11" t="n"/>
      <c r="J48" s="11">
        <f>SUM(F48:I48)</f>
        <v/>
      </c>
      <c r="K48" s="11" t="inlineStr">
        <is>
          <t>Not started</t>
        </is>
      </c>
      <c r="L48" s="11" t="n"/>
      <c r="M48" s="11" t="n"/>
      <c r="N48" s="11" t="n"/>
    </row>
    <row r="49">
      <c r="A49" s="11" t="n"/>
      <c r="B49" s="11">
        <f>IF(C49="","",IFERROR(VLOOKUP(C49,Modules!$A:$F,6,FALSE),""))</f>
        <v/>
      </c>
      <c r="C49" s="11" t="n"/>
      <c r="D49" s="11">
        <f>IF(C49="","",IFERROR(VLOOKUP(C49,Modules!$A:$B,2,FALSE),""))</f>
        <v/>
      </c>
      <c r="E49" s="11" t="n"/>
      <c r="F49" s="11" t="n"/>
      <c r="G49" s="11" t="n"/>
      <c r="H49" s="11" t="n"/>
      <c r="I49" s="11" t="n"/>
      <c r="J49" s="11">
        <f>SUM(F49:I49)</f>
        <v/>
      </c>
      <c r="K49" s="11" t="inlineStr">
        <is>
          <t>Not started</t>
        </is>
      </c>
      <c r="L49" s="11" t="n"/>
      <c r="M49" s="11" t="n"/>
      <c r="N49" s="11" t="n"/>
    </row>
    <row r="50">
      <c r="A50" s="11" t="n"/>
      <c r="B50" s="11">
        <f>IF(C50="","",IFERROR(VLOOKUP(C50,Modules!$A:$F,6,FALSE),""))</f>
        <v/>
      </c>
      <c r="C50" s="11" t="n"/>
      <c r="D50" s="11">
        <f>IF(C50="","",IFERROR(VLOOKUP(C50,Modules!$A:$B,2,FALSE),""))</f>
        <v/>
      </c>
      <c r="E50" s="11" t="n"/>
      <c r="F50" s="11" t="n"/>
      <c r="G50" s="11" t="n"/>
      <c r="H50" s="11" t="n"/>
      <c r="I50" s="11" t="n"/>
      <c r="J50" s="11">
        <f>SUM(F50:I50)</f>
        <v/>
      </c>
      <c r="K50" s="11" t="inlineStr">
        <is>
          <t>Not started</t>
        </is>
      </c>
      <c r="L50" s="11" t="n"/>
      <c r="M50" s="11" t="n"/>
      <c r="N50" s="11" t="n"/>
    </row>
    <row r="51">
      <c r="A51" s="11" t="n"/>
      <c r="B51" s="11">
        <f>IF(C51="","",IFERROR(VLOOKUP(C51,Modules!$A:$F,6,FALSE),""))</f>
        <v/>
      </c>
      <c r="C51" s="11" t="n"/>
      <c r="D51" s="11">
        <f>IF(C51="","",IFERROR(VLOOKUP(C51,Modules!$A:$B,2,FALSE),""))</f>
        <v/>
      </c>
      <c r="E51" s="11" t="n"/>
      <c r="F51" s="11" t="n"/>
      <c r="G51" s="11" t="n"/>
      <c r="H51" s="11" t="n"/>
      <c r="I51" s="11" t="n"/>
      <c r="J51" s="11">
        <f>SUM(F51:I51)</f>
        <v/>
      </c>
      <c r="K51" s="11" t="inlineStr">
        <is>
          <t>Not started</t>
        </is>
      </c>
      <c r="L51" s="11" t="n"/>
      <c r="M51" s="11" t="n"/>
      <c r="N51" s="11" t="n"/>
    </row>
  </sheetData>
  <autoFilter ref="A1:N51"/>
  <dataValidations count="2">
    <dataValidation sqref="K2:K51" showDropDown="0" showInputMessage="0" showErrorMessage="0" allowBlank="1" type="list">
      <formula1>"Not started,In progress,Done,Interview-ready"</formula1>
    </dataValidation>
    <dataValidation sqref="E2:E51" showDropDown="0" showInputMessage="0" showErrorMessage="0" allowBlank="1" type="list">
      <formula1>"IC,EM,Hybrid,Rest"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4" customWidth="1" min="4" max="4"/>
    <col width="8" customWidth="1" min="5" max="5"/>
    <col width="14" customWidth="1" min="6" max="6"/>
    <col width="30" customWidth="1" min="7" max="7"/>
    <col width="28" customWidth="1" min="8" max="8"/>
    <col width="14" customWidth="1" min="9" max="9"/>
    <col width="12" customWidth="1" min="10" max="10"/>
    <col width="14" customWidth="1" min="11" max="11"/>
    <col width="12" customWidth="1" min="12" max="12"/>
    <col width="24" customWidth="1" min="13" max="13"/>
  </cols>
  <sheetData>
    <row r="1">
      <c r="A1" s="9" t="inlineStr">
        <is>
          <t>Project ID</t>
        </is>
      </c>
      <c r="B1" s="9" t="inlineStr">
        <is>
          <t>Name</t>
        </is>
      </c>
      <c r="C1" s="9" t="inlineStr">
        <is>
          <t>Group</t>
        </is>
      </c>
      <c r="D1" s="9" t="inlineStr">
        <is>
          <t>Tier</t>
        </is>
      </c>
      <c r="E1" s="9" t="inlineStr">
        <is>
          <t>Week</t>
        </is>
      </c>
      <c r="F1" s="9" t="inlineStr">
        <is>
          <t>Status</t>
        </is>
      </c>
      <c r="G1" s="9" t="inlineStr">
        <is>
          <t>Linked Module Codes</t>
        </is>
      </c>
      <c r="H1" s="9" t="inlineStr">
        <is>
          <t>Repo URL</t>
        </is>
      </c>
      <c r="I1" s="9" t="inlineStr">
        <is>
          <t>Resume Bullet Ready</t>
        </is>
      </c>
      <c r="J1" s="9" t="inlineStr">
        <is>
          <t>Demo Ready</t>
        </is>
      </c>
      <c r="K1" s="9" t="inlineStr">
        <is>
          <t>Architecture Review</t>
        </is>
      </c>
      <c r="L1" s="9" t="inlineStr">
        <is>
          <t>Code Review</t>
        </is>
      </c>
      <c r="M1" s="9" t="inlineStr">
        <is>
          <t>Notes</t>
        </is>
      </c>
    </row>
    <row r="2">
      <c r="A2" s="11" t="inlineStr">
        <is>
          <t>P01</t>
        </is>
      </c>
      <c r="B2" s="11" t="inlineStr">
        <is>
          <t>Hello-LLM Explain-It Bot</t>
        </is>
      </c>
      <c r="C2" s="11" t="inlineStr">
        <is>
          <t>Foundations Projects</t>
        </is>
      </c>
      <c r="D2" s="11" t="inlineStr">
        <is>
          <t>Mini</t>
        </is>
      </c>
      <c r="E2" s="11" t="n">
        <v>0</v>
      </c>
      <c r="F2" s="11" t="inlineStr">
        <is>
          <t>Not started</t>
        </is>
      </c>
      <c r="G2" s="11" t="inlineStr">
        <is>
          <t>00-01</t>
        </is>
      </c>
      <c r="H2" s="11" t="inlineStr"/>
      <c r="I2" s="11" t="inlineStr">
        <is>
          <t>No</t>
        </is>
      </c>
      <c r="J2" s="11" t="inlineStr">
        <is>
          <t>No</t>
        </is>
      </c>
      <c r="K2" s="11" t="inlineStr">
        <is>
          <t>No</t>
        </is>
      </c>
      <c r="L2" s="11" t="inlineStr">
        <is>
          <t>No</t>
        </is>
      </c>
      <c r="M2" s="11" t="inlineStr"/>
    </row>
    <row r="3">
      <c r="A3" s="11" t="inlineStr">
        <is>
          <t>P01b</t>
        </is>
      </c>
      <c r="B3" s="11" t="inlineStr">
        <is>
          <t>BankCo Decision Support</t>
        </is>
      </c>
      <c r="C3" s="11" t="inlineStr">
        <is>
          <t>Foundations Projects</t>
        </is>
      </c>
      <c r="D3" s="11" t="inlineStr">
        <is>
          <t>Mini</t>
        </is>
      </c>
      <c r="E3" s="11" t="n">
        <v>1</v>
      </c>
      <c r="F3" s="11" t="inlineStr">
        <is>
          <t>Not started</t>
        </is>
      </c>
      <c r="G3" s="11" t="inlineStr">
        <is>
          <t>00-04, 00-06</t>
        </is>
      </c>
      <c r="H3" s="11" t="inlineStr"/>
      <c r="I3" s="11" t="inlineStr">
        <is>
          <t>No</t>
        </is>
      </c>
      <c r="J3" s="11" t="inlineStr">
        <is>
          <t>No</t>
        </is>
      </c>
      <c r="K3" s="11" t="inlineStr">
        <is>
          <t>No</t>
        </is>
      </c>
      <c r="L3" s="11" t="inlineStr">
        <is>
          <t>No</t>
        </is>
      </c>
      <c r="M3" s="11" t="inlineStr"/>
    </row>
    <row r="4">
      <c r="A4" s="11" t="inlineStr">
        <is>
          <t>P02</t>
        </is>
      </c>
      <c r="B4" s="11" t="inlineStr">
        <is>
          <t>Token Cost Estimator</t>
        </is>
      </c>
      <c r="C4" s="11" t="inlineStr">
        <is>
          <t>LLM Projects</t>
        </is>
      </c>
      <c r="D4" s="11" t="inlineStr">
        <is>
          <t>Mini</t>
        </is>
      </c>
      <c r="E4" s="11" t="n">
        <v>2</v>
      </c>
      <c r="F4" s="11" t="inlineStr">
        <is>
          <t>Not started</t>
        </is>
      </c>
      <c r="G4" s="11" t="inlineStr">
        <is>
          <t>01-02</t>
        </is>
      </c>
      <c r="H4" s="11" t="inlineStr"/>
      <c r="I4" s="11" t="inlineStr">
        <is>
          <t>No</t>
        </is>
      </c>
      <c r="J4" s="11" t="inlineStr">
        <is>
          <t>No</t>
        </is>
      </c>
      <c r="K4" s="11" t="inlineStr">
        <is>
          <t>No</t>
        </is>
      </c>
      <c r="L4" s="11" t="inlineStr">
        <is>
          <t>No</t>
        </is>
      </c>
      <c r="M4" s="11" t="inlineStr"/>
    </row>
    <row r="5">
      <c r="A5" s="11" t="inlineStr">
        <is>
          <t>P03</t>
        </is>
      </c>
      <c r="B5" s="11" t="inlineStr">
        <is>
          <t>LiteLLM Gateway</t>
        </is>
      </c>
      <c r="C5" s="11" t="inlineStr">
        <is>
          <t>LLM Projects</t>
        </is>
      </c>
      <c r="D5" s="11" t="inlineStr">
        <is>
          <t>Mini</t>
        </is>
      </c>
      <c r="E5" s="11" t="n">
        <v>3</v>
      </c>
      <c r="F5" s="11" t="inlineStr">
        <is>
          <t>Not started</t>
        </is>
      </c>
      <c r="G5" s="11" t="inlineStr">
        <is>
          <t>01-03, 01-04</t>
        </is>
      </c>
      <c r="H5" s="11" t="inlineStr"/>
      <c r="I5" s="11" t="inlineStr">
        <is>
          <t>No</t>
        </is>
      </c>
      <c r="J5" s="11" t="inlineStr">
        <is>
          <t>No</t>
        </is>
      </c>
      <c r="K5" s="11" t="inlineStr">
        <is>
          <t>No</t>
        </is>
      </c>
      <c r="L5" s="11" t="inlineStr">
        <is>
          <t>No</t>
        </is>
      </c>
      <c r="M5" s="11" t="inlineStr"/>
    </row>
    <row r="6">
      <c r="A6" s="11" t="inlineStr">
        <is>
          <t>P04</t>
        </is>
      </c>
      <c r="B6" s="11" t="inlineStr">
        <is>
          <t>Structured Router Agent</t>
        </is>
      </c>
      <c r="C6" s="11" t="inlineStr">
        <is>
          <t>Agent Projects</t>
        </is>
      </c>
      <c r="D6" s="11" t="inlineStr">
        <is>
          <t>Intermediate</t>
        </is>
      </c>
      <c r="E6" s="11" t="n">
        <v>4</v>
      </c>
      <c r="F6" s="11" t="inlineStr">
        <is>
          <t>Not started</t>
        </is>
      </c>
      <c r="G6" s="11" t="inlineStr">
        <is>
          <t>02-02, 03-04</t>
        </is>
      </c>
      <c r="H6" s="11" t="inlineStr"/>
      <c r="I6" s="11" t="inlineStr">
        <is>
          <t>No</t>
        </is>
      </c>
      <c r="J6" s="11" t="inlineStr">
        <is>
          <t>No</t>
        </is>
      </c>
      <c r="K6" s="11" t="inlineStr">
        <is>
          <t>No</t>
        </is>
      </c>
      <c r="L6" s="11" t="inlineStr">
        <is>
          <t>No</t>
        </is>
      </c>
      <c r="M6" s="11" t="inlineStr"/>
    </row>
    <row r="7">
      <c r="A7" s="11" t="inlineStr">
        <is>
          <t>P05</t>
        </is>
      </c>
      <c r="B7" s="11" t="inlineStr">
        <is>
          <t>Inquiry Routing Agent</t>
        </is>
      </c>
      <c r="C7" s="11" t="inlineStr">
        <is>
          <t>Agent Projects</t>
        </is>
      </c>
      <c r="D7" s="11" t="inlineStr">
        <is>
          <t>Intermediate</t>
        </is>
      </c>
      <c r="E7" s="11" t="n">
        <v>5</v>
      </c>
      <c r="F7" s="11" t="inlineStr">
        <is>
          <t>Not started</t>
        </is>
      </c>
      <c r="G7" s="11" t="inlineStr">
        <is>
          <t>03-01, 03-02</t>
        </is>
      </c>
      <c r="H7" s="11" t="inlineStr"/>
      <c r="I7" s="11" t="inlineStr">
        <is>
          <t>No</t>
        </is>
      </c>
      <c r="J7" s="11" t="inlineStr">
        <is>
          <t>No</t>
        </is>
      </c>
      <c r="K7" s="11" t="inlineStr">
        <is>
          <t>No</t>
        </is>
      </c>
      <c r="L7" s="11" t="inlineStr">
        <is>
          <t>No</t>
        </is>
      </c>
      <c r="M7" s="11" t="inlineStr"/>
    </row>
    <row r="8">
      <c r="A8" s="11" t="inlineStr">
        <is>
          <t>P06</t>
        </is>
      </c>
      <c r="B8" s="11" t="inlineStr">
        <is>
          <t>LangGraph Production Agent</t>
        </is>
      </c>
      <c r="C8" s="11" t="inlineStr">
        <is>
          <t>Agent Projects</t>
        </is>
      </c>
      <c r="D8" s="11" t="inlineStr">
        <is>
          <t>Intermediate</t>
        </is>
      </c>
      <c r="E8" s="11" t="n">
        <v>6</v>
      </c>
      <c r="F8" s="11" t="inlineStr">
        <is>
          <t>Not started</t>
        </is>
      </c>
      <c r="G8" s="11" t="inlineStr">
        <is>
          <t>03-03</t>
        </is>
      </c>
      <c r="H8" s="11" t="inlineStr"/>
      <c r="I8" s="11" t="inlineStr">
        <is>
          <t>No</t>
        </is>
      </c>
      <c r="J8" s="11" t="inlineStr">
        <is>
          <t>No</t>
        </is>
      </c>
      <c r="K8" s="11" t="inlineStr">
        <is>
          <t>No</t>
        </is>
      </c>
      <c r="L8" s="11" t="inlineStr">
        <is>
          <t>No</t>
        </is>
      </c>
      <c r="M8" s="11" t="inlineStr"/>
    </row>
    <row r="9">
      <c r="A9" s="11" t="inlineStr">
        <is>
          <t>P07</t>
        </is>
      </c>
      <c r="B9" s="11" t="inlineStr">
        <is>
          <t>NovaCart RAG Assistant</t>
        </is>
      </c>
      <c r="C9" s="11" t="inlineStr">
        <is>
          <t>RAG Projects</t>
        </is>
      </c>
      <c r="D9" s="11" t="inlineStr">
        <is>
          <t>Production</t>
        </is>
      </c>
      <c r="E9" s="11" t="n">
        <v>8</v>
      </c>
      <c r="F9" s="11" t="inlineStr">
        <is>
          <t>Not started</t>
        </is>
      </c>
      <c r="G9" s="11" t="inlineStr">
        <is>
          <t>04-01, 04-02, 04-03</t>
        </is>
      </c>
      <c r="H9" s="11" t="inlineStr"/>
      <c r="I9" s="11" t="inlineStr">
        <is>
          <t>No</t>
        </is>
      </c>
      <c r="J9" s="11" t="inlineStr">
        <is>
          <t>No</t>
        </is>
      </c>
      <c r="K9" s="11" t="inlineStr">
        <is>
          <t>No</t>
        </is>
      </c>
      <c r="L9" s="11" t="inlineStr">
        <is>
          <t>No</t>
        </is>
      </c>
      <c r="M9" s="11" t="inlineStr"/>
    </row>
    <row r="10">
      <c r="A10" s="11" t="inlineStr">
        <is>
          <t>P08</t>
        </is>
      </c>
      <c r="B10" s="11" t="inlineStr">
        <is>
          <t>Multi-Agent Travel Planner</t>
        </is>
      </c>
      <c r="C10" s="11" t="inlineStr">
        <is>
          <t>Multi-Agent Projects</t>
        </is>
      </c>
      <c r="D10" s="11" t="inlineStr">
        <is>
          <t>Production</t>
        </is>
      </c>
      <c r="E10" s="11" t="n">
        <v>9</v>
      </c>
      <c r="F10" s="11" t="inlineStr">
        <is>
          <t>Not started</t>
        </is>
      </c>
      <c r="G10" s="11" t="inlineStr">
        <is>
          <t>05-01, 05-02</t>
        </is>
      </c>
      <c r="H10" s="11" t="inlineStr"/>
      <c r="I10" s="11" t="inlineStr">
        <is>
          <t>No</t>
        </is>
      </c>
      <c r="J10" s="11" t="inlineStr">
        <is>
          <t>No</t>
        </is>
      </c>
      <c r="K10" s="11" t="inlineStr">
        <is>
          <t>No</t>
        </is>
      </c>
      <c r="L10" s="11" t="inlineStr">
        <is>
          <t>No</t>
        </is>
      </c>
      <c r="M10" s="11" t="inlineStr"/>
    </row>
    <row r="11">
      <c r="A11" s="11" t="inlineStr">
        <is>
          <t>P09</t>
        </is>
      </c>
      <c r="B11" s="11" t="inlineStr">
        <is>
          <t>Voice Bot</t>
        </is>
      </c>
      <c r="C11" s="11" t="inlineStr">
        <is>
          <t>Multimodal Projects</t>
        </is>
      </c>
      <c r="D11" s="11" t="inlineStr">
        <is>
          <t>Intermediate</t>
        </is>
      </c>
      <c r="E11" s="11" t="n">
        <v>10</v>
      </c>
      <c r="F11" s="11" t="inlineStr">
        <is>
          <t>Not started</t>
        </is>
      </c>
      <c r="G11" s="11" t="inlineStr">
        <is>
          <t>06-01</t>
        </is>
      </c>
      <c r="H11" s="11" t="inlineStr"/>
      <c r="I11" s="11" t="inlineStr">
        <is>
          <t>No</t>
        </is>
      </c>
      <c r="J11" s="11" t="inlineStr">
        <is>
          <t>No</t>
        </is>
      </c>
      <c r="K11" s="11" t="inlineStr">
        <is>
          <t>No</t>
        </is>
      </c>
      <c r="L11" s="11" t="inlineStr">
        <is>
          <t>No</t>
        </is>
      </c>
      <c r="M11" s="11" t="inlineStr"/>
    </row>
    <row r="12">
      <c r="A12" s="11" t="inlineStr">
        <is>
          <t>P10</t>
        </is>
      </c>
      <c r="B12" s="11" t="inlineStr">
        <is>
          <t>MCP + Negotiation Sim</t>
        </is>
      </c>
      <c r="C12" s="11" t="inlineStr">
        <is>
          <t>Protocol Projects</t>
        </is>
      </c>
      <c r="D12" s="11" t="inlineStr">
        <is>
          <t>Production</t>
        </is>
      </c>
      <c r="E12" s="11" t="n">
        <v>11</v>
      </c>
      <c r="F12" s="11" t="inlineStr">
        <is>
          <t>Not started</t>
        </is>
      </c>
      <c r="G12" s="11" t="inlineStr">
        <is>
          <t>07-01, 07-02, 07-03</t>
        </is>
      </c>
      <c r="H12" s="11" t="inlineStr"/>
      <c r="I12" s="11" t="inlineStr">
        <is>
          <t>No</t>
        </is>
      </c>
      <c r="J12" s="11" t="inlineStr">
        <is>
          <t>No</t>
        </is>
      </c>
      <c r="K12" s="11" t="inlineStr">
        <is>
          <t>No</t>
        </is>
      </c>
      <c r="L12" s="11" t="inlineStr">
        <is>
          <t>No</t>
        </is>
      </c>
      <c r="M12" s="11" t="inlineStr"/>
    </row>
    <row r="13">
      <c r="A13" s="11" t="inlineStr">
        <is>
          <t>P11</t>
        </is>
      </c>
      <c r="B13" s="11" t="inlineStr">
        <is>
          <t>Eval Harness + Ship Gate</t>
        </is>
      </c>
      <c r="C13" s="11" t="inlineStr">
        <is>
          <t>LLMOps Projects</t>
        </is>
      </c>
      <c r="D13" s="11" t="inlineStr">
        <is>
          <t>Production</t>
        </is>
      </c>
      <c r="E13" s="11" t="n">
        <v>12</v>
      </c>
      <c r="F13" s="11" t="inlineStr">
        <is>
          <t>Not started</t>
        </is>
      </c>
      <c r="G13" s="11" t="inlineStr">
        <is>
          <t>08-01, 08-03</t>
        </is>
      </c>
      <c r="H13" s="11" t="inlineStr"/>
      <c r="I13" s="11" t="inlineStr">
        <is>
          <t>No</t>
        </is>
      </c>
      <c r="J13" s="11" t="inlineStr">
        <is>
          <t>No</t>
        </is>
      </c>
      <c r="K13" s="11" t="inlineStr">
        <is>
          <t>No</t>
        </is>
      </c>
      <c r="L13" s="11" t="inlineStr">
        <is>
          <t>No</t>
        </is>
      </c>
      <c r="M13" s="11" t="inlineStr"/>
    </row>
    <row r="14">
      <c r="A14" s="11" t="inlineStr">
        <is>
          <t>P12</t>
        </is>
      </c>
      <c r="B14" s="11" t="inlineStr">
        <is>
          <t>LoRA Integration</t>
        </is>
      </c>
      <c r="C14" s="11" t="inlineStr">
        <is>
          <t>Fine-Tune Projects</t>
        </is>
      </c>
      <c r="D14" s="11" t="inlineStr">
        <is>
          <t>Intermediate</t>
        </is>
      </c>
      <c r="E14" s="11" t="n">
        <v>13</v>
      </c>
      <c r="F14" s="11" t="inlineStr">
        <is>
          <t>Not started</t>
        </is>
      </c>
      <c r="G14" s="11" t="inlineStr">
        <is>
          <t>09-01, 09-02, 09-03</t>
        </is>
      </c>
      <c r="H14" s="11" t="inlineStr"/>
      <c r="I14" s="11" t="inlineStr">
        <is>
          <t>No</t>
        </is>
      </c>
      <c r="J14" s="11" t="inlineStr">
        <is>
          <t>No</t>
        </is>
      </c>
      <c r="K14" s="11" t="inlineStr">
        <is>
          <t>No</t>
        </is>
      </c>
      <c r="L14" s="11" t="inlineStr">
        <is>
          <t>No</t>
        </is>
      </c>
      <c r="M14" s="11" t="inlineStr"/>
    </row>
    <row r="15">
      <c r="A15" s="11" t="inlineStr">
        <is>
          <t>P13</t>
        </is>
      </c>
      <c r="B15" s="11" t="inlineStr">
        <is>
          <t>Deployed Agent API</t>
        </is>
      </c>
      <c r="C15" s="11" t="inlineStr">
        <is>
          <t>Infra Projects</t>
        </is>
      </c>
      <c r="D15" s="11" t="inlineStr">
        <is>
          <t>Production</t>
        </is>
      </c>
      <c r="E15" s="11" t="n">
        <v>14</v>
      </c>
      <c r="F15" s="11" t="inlineStr">
        <is>
          <t>Not started</t>
        </is>
      </c>
      <c r="G15" s="11" t="inlineStr">
        <is>
          <t>10-01, 10-02, 10-03</t>
        </is>
      </c>
      <c r="H15" s="11" t="inlineStr"/>
      <c r="I15" s="11" t="inlineStr">
        <is>
          <t>No</t>
        </is>
      </c>
      <c r="J15" s="11" t="inlineStr">
        <is>
          <t>No</t>
        </is>
      </c>
      <c r="K15" s="11" t="inlineStr">
        <is>
          <t>No</t>
        </is>
      </c>
      <c r="L15" s="11" t="inlineStr">
        <is>
          <t>No</t>
        </is>
      </c>
      <c r="M15" s="11" t="inlineStr"/>
    </row>
    <row r="16">
      <c r="A16" s="11" t="inlineStr">
        <is>
          <t>P14</t>
        </is>
      </c>
      <c r="B16" s="11" t="inlineStr">
        <is>
          <t>Capstone Multi-Agent System</t>
        </is>
      </c>
      <c r="C16" s="11" t="inlineStr">
        <is>
          <t>Capstone</t>
        </is>
      </c>
      <c r="D16" s="11" t="inlineStr">
        <is>
          <t>Capstone</t>
        </is>
      </c>
      <c r="E16" s="11" t="n">
        <v>17</v>
      </c>
      <c r="F16" s="11" t="inlineStr">
        <is>
          <t>Not started</t>
        </is>
      </c>
      <c r="G16" s="11" t="inlineStr">
        <is>
          <t>05-01, 04-01, 08-01, 11-01</t>
        </is>
      </c>
      <c r="H16" s="11" t="inlineStr"/>
      <c r="I16" s="11" t="inlineStr">
        <is>
          <t>No</t>
        </is>
      </c>
      <c r="J16" s="11" t="inlineStr">
        <is>
          <t>No</t>
        </is>
      </c>
      <c r="K16" s="11" t="inlineStr">
        <is>
          <t>No</t>
        </is>
      </c>
      <c r="L16" s="11" t="inlineStr">
        <is>
          <t>No</t>
        </is>
      </c>
      <c r="M16" s="11" t="inlineStr"/>
    </row>
  </sheetData>
  <autoFilter ref="A1:M16"/>
  <conditionalFormatting sqref="F2:F16">
    <cfRule type="expression" priority="1" dxfId="0">
      <formula>$F2="Done"</formula>
    </cfRule>
    <cfRule type="expression" priority="2" dxfId="1">
      <formula>$F2="In progress"</formula>
    </cfRule>
  </conditionalFormatting>
  <dataValidations count="6">
    <dataValidation sqref="F2:F16" showDropDown="0" showInputMessage="0" showErrorMessage="0" allowBlank="1" type="list">
      <formula1>"Not started,In progress,Done,Interview-ready"</formula1>
    </dataValidation>
    <dataValidation sqref="D2:D16" showDropDown="0" showInputMessage="0" showErrorMessage="0" allowBlank="1" type="list">
      <formula1>"Mini,Intermediate,Production,Capstone"</formula1>
    </dataValidation>
    <dataValidation sqref="I2:I16" showDropDown="0" showInputMessage="0" showErrorMessage="0" allowBlank="1" type="list">
      <formula1>"Yes,No"</formula1>
    </dataValidation>
    <dataValidation sqref="J2:J16" showDropDown="0" showInputMessage="0" showErrorMessage="0" allowBlank="1" type="list">
      <formula1>"Yes,No"</formula1>
    </dataValidation>
    <dataValidation sqref="K2:K16" showDropDown="0" showInputMessage="0" showErrorMessage="0" allowBlank="1" type="list">
      <formula1>"Yes,No"</formula1>
    </dataValidation>
    <dataValidation sqref="L2:L1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4" customWidth="1" min="4" max="4"/>
    <col width="10" customWidth="1" min="5" max="5"/>
    <col width="14" customWidth="1" min="6" max="6"/>
    <col width="22" customWidth="1" min="7" max="7"/>
    <col width="14" customWidth="1" min="8" max="8"/>
    <col width="28" customWidth="1" min="9" max="9"/>
    <col width="28" customWidth="1" min="10" max="10"/>
    <col width="12" customWidth="1" min="11" max="11"/>
    <col width="14" customWidth="1" min="12" max="12"/>
    <col width="20" customWidth="1" min="13" max="13"/>
  </cols>
  <sheetData>
    <row r="1">
      <c r="A1" s="9" t="inlineStr">
        <is>
          <t>Mock #</t>
        </is>
      </c>
      <c r="B1" s="9" t="inlineStr">
        <is>
          <t>Date</t>
        </is>
      </c>
      <c r="C1" s="9" t="inlineStr">
        <is>
          <t>Type</t>
        </is>
      </c>
      <c r="D1" s="9" t="inlineStr">
        <is>
          <t>Role Target</t>
        </is>
      </c>
      <c r="E1" s="9" t="inlineStr">
        <is>
          <t>Score Avg</t>
        </is>
      </c>
      <c r="F1" s="9" t="inlineStr">
        <is>
          <t>Weak Dimension</t>
        </is>
      </c>
      <c r="G1" s="9" t="inlineStr">
        <is>
          <t>Linked Modules</t>
        </is>
      </c>
      <c r="H1" s="9" t="inlineStr">
        <is>
          <t>Linked Design</t>
        </is>
      </c>
      <c r="I1" s="9" t="inlineStr">
        <is>
          <t>What Went Well</t>
        </is>
      </c>
      <c r="J1" s="9" t="inlineStr">
        <is>
          <t>Critical Miss</t>
        </is>
      </c>
      <c r="K1" s="9" t="inlineStr">
        <is>
          <t>Retest Date</t>
        </is>
      </c>
      <c r="L1" s="9" t="inlineStr">
        <is>
          <t>Status</t>
        </is>
      </c>
      <c r="M1" s="9" t="inlineStr">
        <is>
          <t>Notes</t>
        </is>
      </c>
    </row>
    <row r="2">
      <c r="A2" s="11" t="n">
        <v>1</v>
      </c>
      <c r="B2" s="11" t="inlineStr"/>
      <c r="C2" s="11" t="inlineStr">
        <is>
          <t>Senior AI</t>
        </is>
      </c>
      <c r="D2" s="11" t="inlineStr"/>
      <c r="E2" s="11" t="inlineStr"/>
      <c r="F2" s="11" t="inlineStr">
        <is>
          <t>IC-AG</t>
        </is>
      </c>
      <c r="G2" s="11" t="inlineStr">
        <is>
          <t>03-01, 03-02</t>
        </is>
      </c>
      <c r="H2" s="11" t="inlineStr"/>
      <c r="I2" s="11" t="inlineStr"/>
      <c r="J2" s="11" t="inlineStr"/>
      <c r="K2" s="11" t="inlineStr"/>
      <c r="L2" s="11" t="inlineStr">
        <is>
          <t>Planned</t>
        </is>
      </c>
      <c r="M2" s="11" t="inlineStr"/>
    </row>
    <row r="3">
      <c r="A3" s="11" t="n">
        <v>2</v>
      </c>
      <c r="B3" s="11" t="inlineStr"/>
      <c r="C3" s="11" t="inlineStr">
        <is>
          <t>Staff AI</t>
        </is>
      </c>
      <c r="D3" s="11" t="inlineStr"/>
      <c r="E3" s="11" t="inlineStr"/>
      <c r="F3" s="11" t="inlineStr">
        <is>
          <t>IC-AR</t>
        </is>
      </c>
      <c r="G3" s="11" t="inlineStr">
        <is>
          <t>04-01, 04-03</t>
        </is>
      </c>
      <c r="H3" s="11" t="inlineStr"/>
      <c r="I3" s="11" t="inlineStr"/>
      <c r="J3" s="11" t="inlineStr"/>
      <c r="K3" s="11" t="inlineStr"/>
      <c r="L3" s="11" t="inlineStr">
        <is>
          <t>Planned</t>
        </is>
      </c>
      <c r="M3" s="11" t="inlineStr"/>
    </row>
    <row r="4">
      <c r="A4" s="11" t="n">
        <v>3</v>
      </c>
      <c r="B4" s="11" t="inlineStr"/>
      <c r="C4" s="11" t="inlineStr">
        <is>
          <t>Principal Design</t>
        </is>
      </c>
      <c r="D4" s="11" t="inlineStr"/>
      <c r="E4" s="11" t="inlineStr"/>
      <c r="F4" s="11" t="inlineStr">
        <is>
          <t>IC-COST</t>
        </is>
      </c>
      <c r="G4" s="11" t="inlineStr">
        <is>
          <t>05-01, 10-03</t>
        </is>
      </c>
      <c r="H4" s="11" t="inlineStr">
        <is>
          <t>Cursor</t>
        </is>
      </c>
      <c r="I4" s="11" t="inlineStr"/>
      <c r="J4" s="11" t="inlineStr"/>
      <c r="K4" s="11" t="inlineStr"/>
      <c r="L4" s="11" t="inlineStr">
        <is>
          <t>Planned</t>
        </is>
      </c>
      <c r="M4" s="11" t="inlineStr"/>
    </row>
    <row r="5">
      <c r="A5" s="11" t="n">
        <v>4</v>
      </c>
      <c r="B5" s="11" t="inlineStr"/>
      <c r="C5" s="11" t="inlineStr">
        <is>
          <t>EM Behavioral</t>
        </is>
      </c>
      <c r="D5" s="11" t="inlineStr"/>
      <c r="E5" s="11" t="inlineStr"/>
      <c r="F5" s="11" t="inlineStr">
        <is>
          <t>EM-PEO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Planned</t>
        </is>
      </c>
      <c r="M5" s="11" t="inlineStr"/>
    </row>
    <row r="6">
      <c r="A6" s="11" t="n">
        <v>5</v>
      </c>
      <c r="B6" s="11" t="inlineStr"/>
      <c r="C6" s="11" t="inlineStr">
        <is>
          <t>Staff+Security</t>
        </is>
      </c>
      <c r="D6" s="11" t="inlineStr"/>
      <c r="E6" s="11" t="inlineStr"/>
      <c r="F6" s="11" t="inlineStr">
        <is>
          <t>IC-SEC</t>
        </is>
      </c>
      <c r="G6" s="11" t="inlineStr">
        <is>
          <t>11-01, 11-02</t>
        </is>
      </c>
      <c r="H6" s="11" t="inlineStr"/>
      <c r="I6" s="11" t="inlineStr"/>
      <c r="J6" s="11" t="inlineStr"/>
      <c r="K6" s="11" t="inlineStr"/>
      <c r="L6" s="11" t="inlineStr">
        <is>
          <t>Planned</t>
        </is>
      </c>
      <c r="M6" s="11" t="inlineStr"/>
    </row>
    <row r="7">
      <c r="A7" s="11" t="n">
        <v>6</v>
      </c>
      <c r="B7" s="11" t="inlineStr"/>
      <c r="C7" s="11" t="inlineStr">
        <is>
          <t>EM Execution</t>
        </is>
      </c>
      <c r="D7" s="11" t="inlineStr"/>
      <c r="E7" s="11" t="inlineStr"/>
      <c r="F7" s="11" t="inlineStr">
        <is>
          <t>EM-EXE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Planned</t>
        </is>
      </c>
      <c r="M7" s="11" t="inlineStr"/>
    </row>
    <row r="8">
      <c r="A8" s="11" t="n">
        <v>7</v>
      </c>
      <c r="B8" s="11" t="inlineStr"/>
      <c r="C8" s="11" t="inlineStr">
        <is>
          <t>Full Panel</t>
        </is>
      </c>
      <c r="D8" s="11" t="inlineStr"/>
      <c r="E8" s="11" t="inlineStr"/>
      <c r="F8" s="11" t="inlineStr">
        <is>
          <t>IC-COM</t>
        </is>
      </c>
      <c r="G8" s="11" t="inlineStr">
        <is>
          <t>03-03, 08-01</t>
        </is>
      </c>
      <c r="H8" s="11" t="inlineStr">
        <is>
          <t>ChatGPT</t>
        </is>
      </c>
      <c r="I8" s="11" t="inlineStr"/>
      <c r="J8" s="11" t="inlineStr"/>
      <c r="K8" s="11" t="inlineStr"/>
      <c r="L8" s="11" t="inlineStr">
        <is>
          <t>Planned</t>
        </is>
      </c>
      <c r="M8" s="11" t="inlineStr"/>
    </row>
    <row r="9">
      <c r="A9" s="11" t="n">
        <v>8</v>
      </c>
      <c r="B9" s="11" t="inlineStr"/>
      <c r="C9" s="11" t="inlineStr">
        <is>
          <t>Offer Rehearsal</t>
        </is>
      </c>
      <c r="D9" s="11" t="inlineStr"/>
      <c r="E9" s="11" t="inlineStr"/>
      <c r="F9" s="11" t="inlineStr">
        <is>
          <t>EM-ROI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Planned</t>
        </is>
      </c>
      <c r="M9" s="11" t="inlineStr"/>
    </row>
  </sheetData>
  <autoFilter ref="A1:M9"/>
  <dataValidations count="1">
    <dataValidation sqref="L2:L9" showDropDown="0" showInputMessage="0" showErrorMessage="0" allowBlank="1" type="list">
      <formula1>"Planned,Done,Needs retest"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12" customWidth="1" min="4" max="4"/>
    <col width="10" customWidth="1" min="5" max="5"/>
    <col width="16" customWidth="1" min="6" max="6"/>
    <col width="12" customWidth="1" min="7" max="7"/>
    <col width="20" customWidth="1" min="8" max="8"/>
    <col width="12" customWidth="1" min="9" max="9"/>
    <col width="24" customWidth="1" min="10" max="10"/>
    <col width="24" customWidth="1" min="11" max="11"/>
    <col width="24" customWidth="1" min="12" max="12"/>
    <col width="24" customWidth="1" min="13" max="13"/>
    <col width="16" customWidth="1" min="14" max="14"/>
  </cols>
  <sheetData>
    <row r="1">
      <c r="A1" s="9" t="inlineStr">
        <is>
          <t>Story ID</t>
        </is>
      </c>
      <c r="B1" s="9" t="inlineStr">
        <is>
          <t>Title</t>
        </is>
      </c>
      <c r="C1" s="9" t="inlineStr">
        <is>
          <t>Pattern</t>
        </is>
      </c>
      <c r="D1" s="9" t="inlineStr">
        <is>
          <t>Group</t>
        </is>
      </c>
      <c r="E1" s="9" t="inlineStr">
        <is>
          <t>Role Angle</t>
        </is>
      </c>
      <c r="F1" s="9" t="inlineStr">
        <is>
          <t>Status</t>
        </is>
      </c>
      <c r="G1" s="9" t="inlineStr">
        <is>
          <t>Strength 1-5</t>
        </is>
      </c>
      <c r="H1" s="9" t="inlineStr">
        <is>
          <t>Linked Modules</t>
        </is>
      </c>
      <c r="I1" s="9" t="inlineStr">
        <is>
          <t>Last Practiced</t>
        </is>
      </c>
      <c r="J1" s="9" t="inlineStr">
        <is>
          <t>Situation</t>
        </is>
      </c>
      <c r="K1" s="9" t="inlineStr">
        <is>
          <t>Task</t>
        </is>
      </c>
      <c r="L1" s="9" t="inlineStr">
        <is>
          <t>Action</t>
        </is>
      </c>
      <c r="M1" s="9" t="inlineStr">
        <is>
          <t>Result</t>
        </is>
      </c>
      <c r="N1" s="9" t="inlineStr">
        <is>
          <t>Notes</t>
        </is>
      </c>
    </row>
    <row r="2">
      <c r="A2" s="11" t="inlineStr">
        <is>
          <t>S01</t>
        </is>
      </c>
      <c r="B2" s="11" t="inlineStr">
        <is>
          <t>Led AI feature idea→launch</t>
        </is>
      </c>
      <c r="C2" s="11" t="inlineStr">
        <is>
          <t>Project Experience</t>
        </is>
      </c>
      <c r="D2" s="11" t="inlineStr">
        <is>
          <t>Delivery</t>
        </is>
      </c>
      <c r="E2" s="11" t="inlineStr">
        <is>
          <t>Both</t>
        </is>
      </c>
      <c r="F2" s="11" t="inlineStr">
        <is>
          <t>Draft</t>
        </is>
      </c>
      <c r="G2" s="11" t="inlineStr"/>
      <c r="H2" s="11" t="inlineStr">
        <is>
          <t>12-06, 08-03</t>
        </is>
      </c>
      <c r="I2" s="11" t="inlineStr"/>
      <c r="J2" s="11" t="inlineStr"/>
      <c r="K2" s="11" t="inlineStr"/>
      <c r="L2" s="11" t="inlineStr"/>
      <c r="M2" s="11" t="inlineStr"/>
      <c r="N2" s="11" t="inlineStr"/>
    </row>
    <row r="3">
      <c r="A3" s="11" t="inlineStr">
        <is>
          <t>S02</t>
        </is>
      </c>
      <c r="B3" s="11" t="inlineStr">
        <is>
          <t>Cross-team alignment conflict</t>
        </is>
      </c>
      <c r="C3" s="11" t="inlineStr">
        <is>
          <t>Conflict Resolution</t>
        </is>
      </c>
      <c r="D3" s="11" t="inlineStr">
        <is>
          <t>People</t>
        </is>
      </c>
      <c r="E3" s="11" t="inlineStr">
        <is>
          <t>EM</t>
        </is>
      </c>
      <c r="F3" s="11" t="inlineStr">
        <is>
          <t>Draft</t>
        </is>
      </c>
      <c r="G3" s="11" t="inlineStr"/>
      <c r="H3" s="11" t="inlineStr">
        <is>
          <t>05-01</t>
        </is>
      </c>
      <c r="I3" s="11" t="inlineStr"/>
      <c r="J3" s="11" t="inlineStr"/>
      <c r="K3" s="11" t="inlineStr"/>
      <c r="L3" s="11" t="inlineStr"/>
      <c r="M3" s="11" t="inlineStr"/>
      <c r="N3" s="11" t="inlineStr"/>
    </row>
    <row r="4">
      <c r="A4" s="11" t="inlineStr">
        <is>
          <t>S03</t>
        </is>
      </c>
      <c r="B4" s="11" t="inlineStr">
        <is>
          <t>Missed deadline recovery</t>
        </is>
      </c>
      <c r="C4" s="11" t="inlineStr">
        <is>
          <t>Execution</t>
        </is>
      </c>
      <c r="D4" s="11" t="inlineStr">
        <is>
          <t>Delivery</t>
        </is>
      </c>
      <c r="E4" s="11" t="inlineStr">
        <is>
          <t>Both</t>
        </is>
      </c>
      <c r="F4" s="11" t="inlineStr">
        <is>
          <t>Draft</t>
        </is>
      </c>
      <c r="G4" s="11" t="inlineStr"/>
      <c r="H4" s="11" t="inlineStr">
        <is>
          <t>10-02</t>
        </is>
      </c>
      <c r="I4" s="11" t="inlineStr"/>
      <c r="J4" s="11" t="inlineStr"/>
      <c r="K4" s="11" t="inlineStr"/>
      <c r="L4" s="11" t="inlineStr"/>
      <c r="M4" s="11" t="inlineStr"/>
      <c r="N4" s="11" t="inlineStr"/>
    </row>
    <row r="5">
      <c r="A5" s="11" t="inlineStr">
        <is>
          <t>S04</t>
        </is>
      </c>
      <c r="B5" s="11" t="inlineStr">
        <is>
          <t>Hired/leveled AI engineer</t>
        </is>
      </c>
      <c r="C5" s="11" t="inlineStr">
        <is>
          <t>Hiring</t>
        </is>
      </c>
      <c r="D5" s="11" t="inlineStr">
        <is>
          <t>People</t>
        </is>
      </c>
      <c r="E5" s="11" t="inlineStr">
        <is>
          <t>EM</t>
        </is>
      </c>
      <c r="F5" s="11" t="inlineStr">
        <is>
          <t>Draft</t>
        </is>
      </c>
      <c r="G5" s="11" t="inlineStr"/>
      <c r="H5" s="11" t="inlineStr">
        <is>
          <t>08-01</t>
        </is>
      </c>
      <c r="I5" s="11" t="inlineStr"/>
      <c r="J5" s="11" t="inlineStr"/>
      <c r="K5" s="11" t="inlineStr"/>
      <c r="L5" s="11" t="inlineStr"/>
      <c r="M5" s="11" t="inlineStr"/>
      <c r="N5" s="11" t="inlineStr"/>
    </row>
    <row r="6">
      <c r="A6" s="11" t="inlineStr">
        <is>
          <t>S05</t>
        </is>
      </c>
      <c r="B6" s="11" t="inlineStr">
        <is>
          <t>Hallucination/prod incident</t>
        </is>
      </c>
      <c r="C6" s="11" t="inlineStr">
        <is>
          <t>Technical Judgment</t>
        </is>
      </c>
      <c r="D6" s="11" t="inlineStr">
        <is>
          <t>Tech</t>
        </is>
      </c>
      <c r="E6" s="11" t="inlineStr">
        <is>
          <t>IC</t>
        </is>
      </c>
      <c r="F6" s="11" t="inlineStr">
        <is>
          <t>Draft</t>
        </is>
      </c>
      <c r="G6" s="11" t="inlineStr"/>
      <c r="H6" s="11" t="inlineStr">
        <is>
          <t>04-01, 11-02</t>
        </is>
      </c>
      <c r="I6" s="11" t="inlineStr"/>
      <c r="J6" s="11" t="inlineStr"/>
      <c r="K6" s="11" t="inlineStr"/>
      <c r="L6" s="11" t="inlineStr"/>
      <c r="M6" s="11" t="inlineStr"/>
      <c r="N6" s="11" t="inlineStr"/>
    </row>
    <row r="7">
      <c r="A7" s="11" t="inlineStr">
        <is>
          <t>S06</t>
        </is>
      </c>
      <c r="B7" s="11" t="inlineStr">
        <is>
          <t>Said no to fine-tune/multi-agent</t>
        </is>
      </c>
      <c r="C7" s="11" t="inlineStr">
        <is>
          <t>Technical Judgment</t>
        </is>
      </c>
      <c r="D7" s="11" t="inlineStr">
        <is>
          <t>Tech</t>
        </is>
      </c>
      <c r="E7" s="11" t="inlineStr">
        <is>
          <t>IC</t>
        </is>
      </c>
      <c r="F7" s="11" t="inlineStr">
        <is>
          <t>Draft</t>
        </is>
      </c>
      <c r="G7" s="11" t="inlineStr"/>
      <c r="H7" s="11" t="inlineStr">
        <is>
          <t>09-02, 05-01</t>
        </is>
      </c>
      <c r="I7" s="11" t="inlineStr"/>
      <c r="J7" s="11" t="inlineStr"/>
      <c r="K7" s="11" t="inlineStr"/>
      <c r="L7" s="11" t="inlineStr"/>
      <c r="M7" s="11" t="inlineStr"/>
      <c r="N7" s="11" t="inlineStr"/>
    </row>
    <row r="8">
      <c r="A8" s="11" t="inlineStr">
        <is>
          <t>S07</t>
        </is>
      </c>
      <c r="B8" s="11" t="inlineStr">
        <is>
          <t>Influenced without authority</t>
        </is>
      </c>
      <c r="C8" s="11" t="inlineStr">
        <is>
          <t>Cross-Functional</t>
        </is>
      </c>
      <c r="D8" s="11" t="inlineStr">
        <is>
          <t>People</t>
        </is>
      </c>
      <c r="E8" s="11" t="inlineStr">
        <is>
          <t>Both</t>
        </is>
      </c>
      <c r="F8" s="11" t="inlineStr">
        <is>
          <t>Draft</t>
        </is>
      </c>
      <c r="G8" s="11" t="inlineStr"/>
      <c r="H8" s="11" t="inlineStr">
        <is>
          <t>12-06</t>
        </is>
      </c>
      <c r="I8" s="11" t="inlineStr"/>
      <c r="J8" s="11" t="inlineStr"/>
      <c r="K8" s="11" t="inlineStr"/>
      <c r="L8" s="11" t="inlineStr"/>
      <c r="M8" s="11" t="inlineStr"/>
      <c r="N8" s="11" t="inlineStr"/>
    </row>
    <row r="9">
      <c r="A9" s="11" t="inlineStr">
        <is>
          <t>S08</t>
        </is>
      </c>
      <c r="B9" s="11" t="inlineStr">
        <is>
          <t>Built mentorship rituals</t>
        </is>
      </c>
      <c r="C9" s="11" t="inlineStr">
        <is>
          <t>Leadership Profile</t>
        </is>
      </c>
      <c r="D9" s="11" t="inlineStr">
        <is>
          <t>People</t>
        </is>
      </c>
      <c r="E9" s="11" t="inlineStr">
        <is>
          <t>EM</t>
        </is>
      </c>
      <c r="F9" s="11" t="inlineStr">
        <is>
          <t>Draft</t>
        </is>
      </c>
      <c r="G9" s="11" t="inlineStr"/>
      <c r="H9" s="11" t="inlineStr">
        <is>
          <t>08-03</t>
        </is>
      </c>
      <c r="I9" s="11" t="inlineStr"/>
      <c r="J9" s="11" t="inlineStr"/>
      <c r="K9" s="11" t="inlineStr"/>
      <c r="L9" s="11" t="inlineStr"/>
      <c r="M9" s="11" t="inlineStr"/>
      <c r="N9" s="11" t="inlineStr"/>
    </row>
  </sheetData>
  <autoFilter ref="A1:N9"/>
  <dataValidations count="1">
    <dataValidation sqref="F2:F9" showDropDown="0" showInputMessage="0" showErrorMessage="0" allowBlank="1" type="list">
      <formula1>"Draft,Ready,Interview-polished"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Group</t>
        </is>
      </c>
      <c r="D1" t="inlineStr">
        <is>
          <t>Week</t>
        </is>
      </c>
      <c r="E1" t="inlineStr">
        <is>
          <t>Status</t>
        </is>
      </c>
      <c r="F1" t="inlineStr">
        <is>
          <t>Include</t>
        </is>
      </c>
      <c r="G1" t="inlineStr">
        <is>
          <t>Rank</t>
        </is>
      </c>
    </row>
    <row r="2">
      <c r="A2" t="inlineStr">
        <is>
          <t>00-01</t>
        </is>
      </c>
      <c r="B2" t="inlineStr">
        <is>
          <t>00-01 — GenAI From Scratch: Core Ideas</t>
        </is>
      </c>
      <c r="C2" t="inlineStr">
        <is>
          <t>00 Foundations</t>
        </is>
      </c>
      <c r="D2" t="n">
        <v>0</v>
      </c>
      <c r="E2">
        <f>IFERROR(VLOOKUP(A2,Modules!$A:$I,9,FALSE),"")</f>
        <v/>
      </c>
      <c r="F2">
        <f>IF(OR(E2="Not started",E2="In progress"),1,0)</f>
        <v/>
      </c>
      <c r="G2">
        <f>IF(F2=0,"",COUNTIFS($F$2:F2,1))</f>
        <v/>
      </c>
    </row>
    <row r="3">
      <c r="A3" t="inlineStr">
        <is>
          <t>00-02</t>
        </is>
      </c>
      <c r="B3" t="inlineStr">
        <is>
          <t>00-02 — Python for AI Engineering</t>
        </is>
      </c>
      <c r="C3" t="inlineStr">
        <is>
          <t>00 Foundations</t>
        </is>
      </c>
      <c r="D3" t="n">
        <v>0</v>
      </c>
      <c r="E3">
        <f>IFERROR(VLOOKUP(A3,Modules!$A:$I,9,FALSE),"")</f>
        <v/>
      </c>
      <c r="F3">
        <f>IF(OR(E3="Not started",E3="In progress"),1,0)</f>
        <v/>
      </c>
      <c r="G3">
        <f>IF(F3=0,"",COUNTIFS($F$2:F3,1))</f>
        <v/>
      </c>
    </row>
    <row r="4">
      <c r="A4" t="inlineStr">
        <is>
          <t>00-03</t>
        </is>
      </c>
      <c r="B4" t="inlineStr">
        <is>
          <t>00-03 — APIs for AI Engineering</t>
        </is>
      </c>
      <c r="C4" t="inlineStr">
        <is>
          <t>00 Foundations</t>
        </is>
      </c>
      <c r="D4" t="n">
        <v>0</v>
      </c>
      <c r="E4">
        <f>IFERROR(VLOOKUP(A4,Modules!$A:$I,9,FALSE),"")</f>
        <v/>
      </c>
      <c r="F4">
        <f>IF(OR(E4="Not started",E4="In progress"),1,0)</f>
        <v/>
      </c>
      <c r="G4">
        <f>IF(F4=0,"",COUNTIFS($F$2:F4,1))</f>
        <v/>
      </c>
    </row>
    <row r="5">
      <c r="A5" t="inlineStr">
        <is>
          <t>00-04</t>
        </is>
      </c>
      <c r="B5" t="inlineStr">
        <is>
          <t>00-04 — From Rules to Agents: The Evolution of Intelligent Systems</t>
        </is>
      </c>
      <c r="C5" t="inlineStr">
        <is>
          <t>00 Foundations</t>
        </is>
      </c>
      <c r="D5" t="n">
        <v>1</v>
      </c>
      <c r="E5">
        <f>IFERROR(VLOOKUP(A5,Modules!$A:$I,9,FALSE),"")</f>
        <v/>
      </c>
      <c r="F5">
        <f>IF(OR(E5="Not started",E5="In progress"),1,0)</f>
        <v/>
      </c>
      <c r="G5">
        <f>IF(F5=0,"",COUNTIFS($F$2:F5,1))</f>
        <v/>
      </c>
    </row>
    <row r="6">
      <c r="A6" t="inlineStr">
        <is>
          <t>00-05</t>
        </is>
      </c>
      <c r="B6" t="inlineStr">
        <is>
          <t>00-05 — Mathematics for AI Engineering</t>
        </is>
      </c>
      <c r="C6" t="inlineStr">
        <is>
          <t>00 Foundations</t>
        </is>
      </c>
      <c r="D6" t="n">
        <v>1</v>
      </c>
      <c r="E6">
        <f>IFERROR(VLOOKUP(A6,Modules!$A:$I,9,FALSE),"")</f>
        <v/>
      </c>
      <c r="F6">
        <f>IF(OR(E6="Not started",E6="In progress"),1,0)</f>
        <v/>
      </c>
      <c r="G6">
        <f>IF(F6=0,"",COUNTIFS($F$2:F6,1))</f>
        <v/>
      </c>
    </row>
    <row r="7">
      <c r="A7" t="inlineStr">
        <is>
          <t>00-06</t>
        </is>
      </c>
      <c r="B7" t="inlineStr">
        <is>
          <t>00-06 — BankCo Warm-Up: Decision-Support Retention Assistant</t>
        </is>
      </c>
      <c r="C7" t="inlineStr">
        <is>
          <t>00 Foundations</t>
        </is>
      </c>
      <c r="D7" t="n">
        <v>1</v>
      </c>
      <c r="E7">
        <f>IFERROR(VLOOKUP(A7,Modules!$A:$I,9,FALSE),"")</f>
        <v/>
      </c>
      <c r="F7">
        <f>IF(OR(E7="Not started",E7="In progress"),1,0)</f>
        <v/>
      </c>
      <c r="G7">
        <f>IF(F7=0,"",COUNTIFS($F$2:F7,1))</f>
        <v/>
      </c>
    </row>
    <row r="8">
      <c r="A8" t="inlineStr">
        <is>
          <t>01-01</t>
        </is>
      </c>
      <c r="B8" t="inlineStr">
        <is>
          <t>01-01 — Transformer Architecture for AI Engineers</t>
        </is>
      </c>
      <c r="C8" t="inlineStr">
        <is>
          <t>01 LLM Engineering</t>
        </is>
      </c>
      <c r="D8" t="n">
        <v>2</v>
      </c>
      <c r="E8">
        <f>IFERROR(VLOOKUP(A8,Modules!$A:$I,9,FALSE),"")</f>
        <v/>
      </c>
      <c r="F8">
        <f>IF(OR(E8="Not started",E8="In progress"),1,0)</f>
        <v/>
      </c>
      <c r="G8">
        <f>IF(F8=0,"",COUNTIFS($F$2:F8,1))</f>
        <v/>
      </c>
    </row>
    <row r="9">
      <c r="A9" t="inlineStr">
        <is>
          <t>01-02</t>
        </is>
      </c>
      <c r="B9" t="inlineStr">
        <is>
          <t>01-02 — Tokenization, Context Windows &amp; Attention Economics</t>
        </is>
      </c>
      <c r="C9" t="inlineStr">
        <is>
          <t>01 LLM Engineering</t>
        </is>
      </c>
      <c r="D9" t="n">
        <v>2</v>
      </c>
      <c r="E9">
        <f>IFERROR(VLOOKUP(A9,Modules!$A:$I,9,FALSE),"")</f>
        <v/>
      </c>
      <c r="F9">
        <f>IF(OR(E9="Not started",E9="In progress"),1,0)</f>
        <v/>
      </c>
      <c r="G9">
        <f>IF(F9=0,"",COUNTIFS($F$2:F9,1))</f>
        <v/>
      </c>
    </row>
    <row r="10">
      <c r="A10" t="inlineStr">
        <is>
          <t>01-03</t>
        </is>
      </c>
      <c r="B10" t="inlineStr">
        <is>
          <t>01-03 — Provider SDKs: OpenAI, Claude, Gemini &amp; DeepSeek</t>
        </is>
      </c>
      <c r="C10" t="inlineStr">
        <is>
          <t>01 LLM Engineering</t>
        </is>
      </c>
      <c r="D10" t="n">
        <v>3</v>
      </c>
      <c r="E10">
        <f>IFERROR(VLOOKUP(A10,Modules!$A:$I,9,FALSE),"")</f>
        <v/>
      </c>
      <c r="F10">
        <f>IF(OR(E10="Not started",E10="In progress"),1,0)</f>
        <v/>
      </c>
      <c r="G10">
        <f>IF(F10=0,"",COUNTIFS($F$2:F10,1))</f>
        <v/>
      </c>
    </row>
    <row r="11">
      <c r="A11" t="inlineStr">
        <is>
          <t>01-04</t>
        </is>
      </c>
      <c r="B11" t="inlineStr">
        <is>
          <t>01-04 — Model Routing with LiteLLM</t>
        </is>
      </c>
      <c r="C11" t="inlineStr">
        <is>
          <t>01 LLM Engineering</t>
        </is>
      </c>
      <c r="D11" t="n">
        <v>3</v>
      </c>
      <c r="E11">
        <f>IFERROR(VLOOKUP(A11,Modules!$A:$I,9,FALSE),"")</f>
        <v/>
      </c>
      <c r="F11">
        <f>IF(OR(E11="Not started",E11="In progress"),1,0)</f>
        <v/>
      </c>
      <c r="G11">
        <f>IF(F11=0,"",COUNTIFS($F$2:F11,1))</f>
        <v/>
      </c>
    </row>
    <row r="12">
      <c r="A12" t="inlineStr">
        <is>
          <t>01-05</t>
        </is>
      </c>
      <c r="B12" t="inlineStr">
        <is>
          <t>01-05 — Inference Serving with vLLM, Ollama &amp; Quantization</t>
        </is>
      </c>
      <c r="C12" t="inlineStr">
        <is>
          <t>01 LLM Engineering</t>
        </is>
      </c>
      <c r="D12" t="n">
        <v>3</v>
      </c>
      <c r="E12">
        <f>IFERROR(VLOOKUP(A12,Modules!$A:$I,9,FALSE),"")</f>
        <v/>
      </c>
      <c r="F12">
        <f>IF(OR(E12="Not started",E12="In progress"),1,0)</f>
        <v/>
      </c>
      <c r="G12">
        <f>IF(F12=0,"",COUNTIFS($F$2:F12,1))</f>
        <v/>
      </c>
    </row>
    <row r="13">
      <c r="A13" t="inlineStr">
        <is>
          <t>02-01</t>
        </is>
      </c>
      <c r="B13" t="inlineStr">
        <is>
          <t>02-01 — Production Prompt Engineering</t>
        </is>
      </c>
      <c r="C13" t="inlineStr">
        <is>
          <t>02 Prompt Engineering</t>
        </is>
      </c>
      <c r="D13" t="n">
        <v>4</v>
      </c>
      <c r="E13">
        <f>IFERROR(VLOOKUP(A13,Modules!$A:$I,9,FALSE),"")</f>
        <v/>
      </c>
      <c r="F13">
        <f>IF(OR(E13="Not started",E13="In progress"),1,0)</f>
        <v/>
      </c>
      <c r="G13">
        <f>IF(F13=0,"",COUNTIFS($F$2:F13,1))</f>
        <v/>
      </c>
    </row>
    <row r="14">
      <c r="A14" t="inlineStr">
        <is>
          <t>02-02</t>
        </is>
      </c>
      <c r="B14" t="inlineStr">
        <is>
          <t>02-02 — Structured Outputs &amp; Tool Calling</t>
        </is>
      </c>
      <c r="C14" t="inlineStr">
        <is>
          <t>02 Prompt Engineering</t>
        </is>
      </c>
      <c r="D14" t="n">
        <v>4</v>
      </c>
      <c r="E14">
        <f>IFERROR(VLOOKUP(A14,Modules!$A:$I,9,FALSE),"")</f>
        <v/>
      </c>
      <c r="F14">
        <f>IF(OR(E14="Not started",E14="In progress"),1,0)</f>
        <v/>
      </c>
      <c r="G14">
        <f>IF(F14=0,"",COUNTIFS($F$2:F14,1))</f>
        <v/>
      </c>
    </row>
    <row r="15">
      <c r="A15" t="inlineStr">
        <is>
          <t>03-01</t>
        </is>
      </c>
      <c r="B15" t="inlineStr">
        <is>
          <t>03-01 — Agent Anatomy &amp; the Think→Act→Observe Loop</t>
        </is>
      </c>
      <c r="C15" t="inlineStr">
        <is>
          <t>03 Agentic Fundamentals</t>
        </is>
      </c>
      <c r="D15" t="n">
        <v>5</v>
      </c>
      <c r="E15">
        <f>IFERROR(VLOOKUP(A15,Modules!$A:$I,9,FALSE),"")</f>
        <v/>
      </c>
      <c r="F15">
        <f>IF(OR(E15="Not started",E15="In progress"),1,0)</f>
        <v/>
      </c>
      <c r="G15">
        <f>IF(F15=0,"",COUNTIFS($F$2:F15,1))</f>
        <v/>
      </c>
    </row>
    <row r="16">
      <c r="A16" t="inlineStr">
        <is>
          <t>03-02</t>
        </is>
      </c>
      <c r="B16" t="inlineStr">
        <is>
          <t>03-02 — Tools, Memory &amp; Control Flow</t>
        </is>
      </c>
      <c r="C16" t="inlineStr">
        <is>
          <t>03 Agentic Fundamentals</t>
        </is>
      </c>
      <c r="D16" t="n">
        <v>5</v>
      </c>
      <c r="E16">
        <f>IFERROR(VLOOKUP(A16,Modules!$A:$I,9,FALSE),"")</f>
        <v/>
      </c>
      <c r="F16">
        <f>IF(OR(E16="Not started",E16="In progress"),1,0)</f>
        <v/>
      </c>
      <c r="G16">
        <f>IF(F16=0,"",COUNTIFS($F$2:F16,1))</f>
        <v/>
      </c>
    </row>
    <row r="17">
      <c r="A17" t="inlineStr">
        <is>
          <t>03-03</t>
        </is>
      </c>
      <c r="B17" t="inlineStr">
        <is>
          <t>03-03 — LangGraph Production Agents: State, Memory, HITL &amp; Deployment</t>
        </is>
      </c>
      <c r="C17" t="inlineStr">
        <is>
          <t>03 Agentic Fundamentals</t>
        </is>
      </c>
      <c r="D17" t="n">
        <v>6</v>
      </c>
      <c r="E17">
        <f>IFERROR(VLOOKUP(A17,Modules!$A:$I,9,FALSE),"")</f>
        <v/>
      </c>
      <c r="F17">
        <f>IF(OR(E17="Not started",E17="In progress"),1,0)</f>
        <v/>
      </c>
      <c r="G17">
        <f>IF(F17=0,"",COUNTIFS($F$2:F17,1))</f>
        <v/>
      </c>
    </row>
    <row r="18">
      <c r="A18" t="inlineStr">
        <is>
          <t>03-04</t>
        </is>
      </c>
      <c r="B18" t="inlineStr">
        <is>
          <t>03-04 — Agentic Design Patterns: Routing, Reflection, ReAct &amp; More</t>
        </is>
      </c>
      <c r="C18" t="inlineStr">
        <is>
          <t>03 Agentic Fundamentals</t>
        </is>
      </c>
      <c r="D18" t="n">
        <v>6</v>
      </c>
      <c r="E18">
        <f>IFERROR(VLOOKUP(A18,Modules!$A:$I,9,FALSE),"")</f>
        <v/>
      </c>
      <c r="F18">
        <f>IF(OR(E18="Not started",E18="In progress"),1,0)</f>
        <v/>
      </c>
      <c r="G18">
        <f>IF(F18=0,"",COUNTIFS($F$2:F18,1))</f>
        <v/>
      </c>
    </row>
    <row r="19">
      <c r="A19" t="inlineStr">
        <is>
          <t>04-01</t>
        </is>
      </c>
      <c r="B19" t="inlineStr">
        <is>
          <t>04-01 — RAG Architecture: Grounding LLMs with External Knowledge</t>
        </is>
      </c>
      <c r="C19" t="inlineStr">
        <is>
          <t>04 RAG</t>
        </is>
      </c>
      <c r="D19" t="n">
        <v>7</v>
      </c>
      <c r="E19">
        <f>IFERROR(VLOOKUP(A19,Modules!$A:$I,9,FALSE),"")</f>
        <v/>
      </c>
      <c r="F19">
        <f>IF(OR(E19="Not started",E19="In progress"),1,0)</f>
        <v/>
      </c>
      <c r="G19">
        <f>IF(F19=0,"",COUNTIFS($F$2:F19,1))</f>
        <v/>
      </c>
    </row>
    <row r="20">
      <c r="A20" t="inlineStr">
        <is>
          <t>04-02</t>
        </is>
      </c>
      <c r="B20" t="inlineStr">
        <is>
          <t>04-02 — Chunking, Metadata &amp; Embeddings</t>
        </is>
      </c>
      <c r="C20" t="inlineStr">
        <is>
          <t>04 RAG</t>
        </is>
      </c>
      <c r="D20" t="n">
        <v>7</v>
      </c>
      <c r="E20">
        <f>IFERROR(VLOOKUP(A20,Modules!$A:$I,9,FALSE),"")</f>
        <v/>
      </c>
      <c r="F20">
        <f>IF(OR(E20="Not started",E20="In progress"),1,0)</f>
        <v/>
      </c>
      <c r="G20">
        <f>IF(F20=0,"",COUNTIFS($F$2:F20,1))</f>
        <v/>
      </c>
    </row>
    <row r="21">
      <c r="A21" t="inlineStr">
        <is>
          <t>04-03</t>
        </is>
      </c>
      <c r="B21" t="inlineStr">
        <is>
          <t>04-03 — Vector DBs, Hybrid Search &amp; Reranking</t>
        </is>
      </c>
      <c r="C21" t="inlineStr">
        <is>
          <t>04 RAG</t>
        </is>
      </c>
      <c r="D21" t="n">
        <v>8</v>
      </c>
      <c r="E21">
        <f>IFERROR(VLOOKUP(A21,Modules!$A:$I,9,FALSE),"")</f>
        <v/>
      </c>
      <c r="F21">
        <f>IF(OR(E21="Not started",E21="In progress"),1,0)</f>
        <v/>
      </c>
      <c r="G21">
        <f>IF(F21=0,"",COUNTIFS($F$2:F21,1))</f>
        <v/>
      </c>
    </row>
    <row r="22">
      <c r="A22" t="inlineStr">
        <is>
          <t>04-04</t>
        </is>
      </c>
      <c r="B22" t="inlineStr">
        <is>
          <t>04-04 — Advanced RAG: HyDE, GraphRAG &amp; Agentic RAG</t>
        </is>
      </c>
      <c r="C22" t="inlineStr">
        <is>
          <t>04 RAG</t>
        </is>
      </c>
      <c r="D22" t="n">
        <v>8</v>
      </c>
      <c r="E22">
        <f>IFERROR(VLOOKUP(A22,Modules!$A:$I,9,FALSE),"")</f>
        <v/>
      </c>
      <c r="F22">
        <f>IF(OR(E22="Not started",E22="In progress"),1,0)</f>
        <v/>
      </c>
      <c r="G22">
        <f>IF(F22=0,"",COUNTIFS($F$2:F22,1))</f>
        <v/>
      </c>
    </row>
    <row r="23">
      <c r="A23" t="inlineStr">
        <is>
          <t>05-01</t>
        </is>
      </c>
      <c r="B23" t="inlineStr">
        <is>
          <t>05-01 — Multi-Agent Orchestration: When One Agent Is Not Enough</t>
        </is>
      </c>
      <c r="C23" t="inlineStr">
        <is>
          <t>05 Multi-Agent</t>
        </is>
      </c>
      <c r="D23" t="n">
        <v>9</v>
      </c>
      <c r="E23">
        <f>IFERROR(VLOOKUP(A23,Modules!$A:$I,9,FALSE),"")</f>
        <v/>
      </c>
      <c r="F23">
        <f>IF(OR(E23="Not started",E23="In progress"),1,0)</f>
        <v/>
      </c>
      <c r="G23">
        <f>IF(F23=0,"",COUNTIFS($F$2:F23,1))</f>
        <v/>
      </c>
    </row>
    <row r="24">
      <c r="A24" t="inlineStr">
        <is>
          <t>05-02</t>
        </is>
      </c>
      <c r="B24" t="inlineStr">
        <is>
          <t>05-02 — Planner–Executor–Critic, Supervisor, DAG &amp; Hybrid Patterns</t>
        </is>
      </c>
      <c r="C24" t="inlineStr">
        <is>
          <t>05 Multi-Agent</t>
        </is>
      </c>
      <c r="D24" t="n">
        <v>9</v>
      </c>
      <c r="E24">
        <f>IFERROR(VLOOKUP(A24,Modules!$A:$I,9,FALSE),"")</f>
        <v/>
      </c>
      <c r="F24">
        <f>IF(OR(E24="Not started",E24="In progress"),1,0)</f>
        <v/>
      </c>
      <c r="G24">
        <f>IF(F24=0,"",COUNTIFS($F$2:F24,1))</f>
        <v/>
      </c>
    </row>
    <row r="25">
      <c r="A25" t="inlineStr">
        <is>
          <t>05-03</t>
        </is>
      </c>
      <c r="B25" t="inlineStr">
        <is>
          <t>05-03 — Frameworks: CrewAI, AutoGen &amp; LangGraph for Production</t>
        </is>
      </c>
      <c r="C25" t="inlineStr">
        <is>
          <t>05 Multi-Agent</t>
        </is>
      </c>
      <c r="D25" t="n">
        <v>9</v>
      </c>
      <c r="E25">
        <f>IFERROR(VLOOKUP(A25,Modules!$A:$I,9,FALSE),"")</f>
        <v/>
      </c>
      <c r="F25">
        <f>IF(OR(E25="Not started",E25="In progress"),1,0)</f>
        <v/>
      </c>
      <c r="G25">
        <f>IF(F25=0,"",COUNTIFS($F$2:F25,1))</f>
        <v/>
      </c>
    </row>
    <row r="26">
      <c r="A26" t="inlineStr">
        <is>
          <t>06-01</t>
        </is>
      </c>
      <c r="B26" t="inlineStr">
        <is>
          <t>06-01 — Voice Pipelines: ASR → LLM → TTS</t>
        </is>
      </c>
      <c r="C26" t="inlineStr">
        <is>
          <t>06 Voice &amp; Multimodal</t>
        </is>
      </c>
      <c r="D26" t="n">
        <v>10</v>
      </c>
      <c r="E26">
        <f>IFERROR(VLOOKUP(A26,Modules!$A:$I,9,FALSE),"")</f>
        <v/>
      </c>
      <c r="F26">
        <f>IF(OR(E26="Not started",E26="In progress"),1,0)</f>
        <v/>
      </c>
      <c r="G26">
        <f>IF(F26=0,"",COUNTIFS($F$2:F26,1))</f>
        <v/>
      </c>
    </row>
    <row r="27">
      <c r="A27" t="inlineStr">
        <is>
          <t>06-02</t>
        </is>
      </c>
      <c r="B27" t="inlineStr">
        <is>
          <t>06-02 — Multimodal Agents (Vision + Text)</t>
        </is>
      </c>
      <c r="C27" t="inlineStr">
        <is>
          <t>06 Voice &amp; Multimodal</t>
        </is>
      </c>
      <c r="D27" t="n">
        <v>10</v>
      </c>
      <c r="E27">
        <f>IFERROR(VLOOKUP(A27,Modules!$A:$I,9,FALSE),"")</f>
        <v/>
      </c>
      <c r="F27">
        <f>IF(OR(E27="Not started",E27="In progress"),1,0)</f>
        <v/>
      </c>
      <c r="G27">
        <f>IF(F27=0,"",COUNTIFS($F$2:F27,1))</f>
        <v/>
      </c>
    </row>
    <row r="28">
      <c r="A28" t="inlineStr">
        <is>
          <t>07-01</t>
        </is>
      </c>
      <c r="B28" t="inlineStr">
        <is>
          <t>07-01 — Model Context Protocol (MCP)</t>
        </is>
      </c>
      <c r="C28" t="inlineStr">
        <is>
          <t>07 Protocols MCP/A2A</t>
        </is>
      </c>
      <c r="D28" t="n">
        <v>11</v>
      </c>
      <c r="E28">
        <f>IFERROR(VLOOKUP(A28,Modules!$A:$I,9,FALSE),"")</f>
        <v/>
      </c>
      <c r="F28">
        <f>IF(OR(E28="Not started",E28="In progress"),1,0)</f>
        <v/>
      </c>
      <c r="G28">
        <f>IF(F28=0,"",COUNTIFS($F$2:F28,1))</f>
        <v/>
      </c>
    </row>
    <row r="29">
      <c r="A29" t="inlineStr">
        <is>
          <t>07-02</t>
        </is>
      </c>
      <c r="B29" t="inlineStr">
        <is>
          <t>07-02 — Agent-to-Agent (A2A) Protocol</t>
        </is>
      </c>
      <c r="C29" t="inlineStr">
        <is>
          <t>07 Protocols MCP/A2A</t>
        </is>
      </c>
      <c r="D29" t="n">
        <v>11</v>
      </c>
      <c r="E29">
        <f>IFERROR(VLOOKUP(A29,Modules!$A:$I,9,FALSE),"")</f>
        <v/>
      </c>
      <c r="F29">
        <f>IF(OR(E29="Not started",E29="In progress"),1,0)</f>
        <v/>
      </c>
      <c r="G29">
        <f>IF(F29=0,"",COUNTIFS($F$2:F29,1))</f>
        <v/>
      </c>
    </row>
    <row r="30">
      <c r="A30" t="inlineStr">
        <is>
          <t>07-03</t>
        </is>
      </c>
      <c r="B30" t="inlineStr">
        <is>
          <t>07-03 — Negotiation &amp; Async Agent Workflows</t>
        </is>
      </c>
      <c r="C30" t="inlineStr">
        <is>
          <t>07 Protocols MCP/A2A</t>
        </is>
      </c>
      <c r="D30" t="n">
        <v>11</v>
      </c>
      <c r="E30">
        <f>IFERROR(VLOOKUP(A30,Modules!$A:$I,9,FALSE),"")</f>
        <v/>
      </c>
      <c r="F30">
        <f>IF(OR(E30="Not started",E30="In progress"),1,0)</f>
        <v/>
      </c>
      <c r="G30">
        <f>IF(F30=0,"",COUNTIFS($F$2:F30,1))</f>
        <v/>
      </c>
    </row>
    <row r="31">
      <c r="A31" t="inlineStr">
        <is>
          <t>07-04</t>
        </is>
      </c>
      <c r="B31" t="inlineStr">
        <is>
          <t>07-04 — MCP Production Patterns (Depth)</t>
        </is>
      </c>
      <c r="C31" t="inlineStr">
        <is>
          <t>07 Protocols MCP/A2A</t>
        </is>
      </c>
      <c r="D31" t="n">
        <v>11</v>
      </c>
      <c r="E31">
        <f>IFERROR(VLOOKUP(A31,Modules!$A:$I,9,FALSE),"")</f>
        <v/>
      </c>
      <c r="F31">
        <f>IF(OR(E31="Not started",E31="In progress"),1,0)</f>
        <v/>
      </c>
      <c r="G31">
        <f>IF(F31=0,"",COUNTIFS($F$2:F31,1))</f>
        <v/>
      </c>
    </row>
    <row r="32">
      <c r="A32" t="inlineStr">
        <is>
          <t>08-01</t>
        </is>
      </c>
      <c r="B32" t="inlineStr">
        <is>
          <t>08-01 — Evaluation Lifecycle (Offline + Online)</t>
        </is>
      </c>
      <c r="C32" t="inlineStr">
        <is>
          <t>08 Eval &amp; LLMOps</t>
        </is>
      </c>
      <c r="D32" t="n">
        <v>12</v>
      </c>
      <c r="E32">
        <f>IFERROR(VLOOKUP(A32,Modules!$A:$I,9,FALSE),"")</f>
        <v/>
      </c>
      <c r="F32">
        <f>IF(OR(E32="Not started",E32="In progress"),1,0)</f>
        <v/>
      </c>
      <c r="G32">
        <f>IF(F32=0,"",COUNTIFS($F$2:F32,1))</f>
        <v/>
      </c>
    </row>
    <row r="33">
      <c r="A33" t="inlineStr">
        <is>
          <t>08-02</t>
        </is>
      </c>
      <c r="B33" t="inlineStr">
        <is>
          <t>08-02 — Observability: LangSmith &amp; OpenTelemetry</t>
        </is>
      </c>
      <c r="C33" t="inlineStr">
        <is>
          <t>08 Eval &amp; LLMOps</t>
        </is>
      </c>
      <c r="D33" t="n">
        <v>12</v>
      </c>
      <c r="E33">
        <f>IFERROR(VLOOKUP(A33,Modules!$A:$I,9,FALSE),"")</f>
        <v/>
      </c>
      <c r="F33">
        <f>IF(OR(E33="Not started",E33="In progress"),1,0)</f>
        <v/>
      </c>
      <c r="G33">
        <f>IF(F33=0,"",COUNTIFS($F$2:F33,1))</f>
        <v/>
      </c>
    </row>
    <row r="34">
      <c r="A34" t="inlineStr">
        <is>
          <t>08-03</t>
        </is>
      </c>
      <c r="B34" t="inlineStr">
        <is>
          <t>08-03 — Guardrails &amp; Ship Criteria</t>
        </is>
      </c>
      <c r="C34" t="inlineStr">
        <is>
          <t>08 Eval &amp; LLMOps</t>
        </is>
      </c>
      <c r="D34" t="n">
        <v>12</v>
      </c>
      <c r="E34">
        <f>IFERROR(VLOOKUP(A34,Modules!$A:$I,9,FALSE),"")</f>
        <v/>
      </c>
      <c r="F34">
        <f>IF(OR(E34="Not started",E34="In progress"),1,0)</f>
        <v/>
      </c>
      <c r="G34">
        <f>IF(F34=0,"",COUNTIFS($F$2:F34,1))</f>
        <v/>
      </c>
    </row>
    <row r="35">
      <c r="A35" t="inlineStr">
        <is>
          <t>09-01</t>
        </is>
      </c>
      <c r="B35" t="inlineStr">
        <is>
          <t>09-01 — PEFT, LoRA &amp; QLoRA: Efficient Fine-Tuning for Production</t>
        </is>
      </c>
      <c r="C35" t="inlineStr">
        <is>
          <t>09 Fine-Tuning</t>
        </is>
      </c>
      <c r="D35" t="n">
        <v>13</v>
      </c>
      <c r="E35">
        <f>IFERROR(VLOOKUP(A35,Modules!$A:$I,9,FALSE),"")</f>
        <v/>
      </c>
      <c r="F35">
        <f>IF(OR(E35="Not started",E35="In progress"),1,0)</f>
        <v/>
      </c>
      <c r="G35">
        <f>IF(F35=0,"",COUNTIFS($F$2:F35,1))</f>
        <v/>
      </c>
    </row>
    <row r="36">
      <c r="A36" t="inlineStr">
        <is>
          <t>09-02</t>
        </is>
      </c>
      <c r="B36" t="inlineStr">
        <is>
          <t>09-02 — Prompting vs RAG vs Fine-Tuning: The Decision Framework</t>
        </is>
      </c>
      <c r="C36" t="inlineStr">
        <is>
          <t>09 Fine-Tuning</t>
        </is>
      </c>
      <c r="D36" t="n">
        <v>13</v>
      </c>
      <c r="E36">
        <f>IFERROR(VLOOKUP(A36,Modules!$A:$I,9,FALSE),"")</f>
        <v/>
      </c>
      <c r="F36">
        <f>IF(OR(E36="Not started",E36="In progress"),1,0)</f>
        <v/>
      </c>
      <c r="G36">
        <f>IF(F36=0,"",COUNTIFS($F$2:F36,1))</f>
        <v/>
      </c>
    </row>
    <row r="37">
      <c r="A37" t="inlineStr">
        <is>
          <t>09-03</t>
        </is>
      </c>
      <c r="B37" t="inlineStr">
        <is>
          <t>09-03 — Serving &amp; Integrating Fine-Tuned Models</t>
        </is>
      </c>
      <c r="C37" t="inlineStr">
        <is>
          <t>09 Fine-Tuning</t>
        </is>
      </c>
      <c r="D37" t="n">
        <v>13</v>
      </c>
      <c r="E37">
        <f>IFERROR(VLOOKUP(A37,Modules!$A:$I,9,FALSE),"")</f>
        <v/>
      </c>
      <c r="F37">
        <f>IF(OR(E37="Not started",E37="In progress"),1,0)</f>
        <v/>
      </c>
      <c r="G37">
        <f>IF(F37=0,"",COUNTIFS($F$2:F37,1))</f>
        <v/>
      </c>
    </row>
    <row r="38">
      <c r="A38" t="inlineStr">
        <is>
          <t>10-01</t>
        </is>
      </c>
      <c r="B38" t="inlineStr">
        <is>
          <t>10-01 — FastAPI AI Backends: Production API Patterns for LLM Apps</t>
        </is>
      </c>
      <c r="C38" t="inlineStr">
        <is>
          <t>10 Production Infra</t>
        </is>
      </c>
      <c r="D38" t="n">
        <v>14</v>
      </c>
      <c r="E38">
        <f>IFERROR(VLOOKUP(A38,Modules!$A:$I,9,FALSE),"")</f>
        <v/>
      </c>
      <c r="F38">
        <f>IF(OR(E38="Not started",E38="In progress"),1,0)</f>
        <v/>
      </c>
      <c r="G38">
        <f>IF(F38=0,"",COUNTIFS($F$2:F38,1))</f>
        <v/>
      </c>
    </row>
    <row r="39">
      <c r="A39" t="inlineStr">
        <is>
          <t>10-02</t>
        </is>
      </c>
      <c r="B39" t="inlineStr">
        <is>
          <t>10-02 — Docker, Kubernetes &amp; CI/CD for AI Services</t>
        </is>
      </c>
      <c r="C39" t="inlineStr">
        <is>
          <t>10 Production Infra</t>
        </is>
      </c>
      <c r="D39" t="n">
        <v>14</v>
      </c>
      <c r="E39">
        <f>IFERROR(VLOOKUP(A39,Modules!$A:$I,9,FALSE),"")</f>
        <v/>
      </c>
      <c r="F39">
        <f>IF(OR(E39="Not started",E39="In progress"),1,0)</f>
        <v/>
      </c>
      <c r="G39">
        <f>IF(F39=0,"",COUNTIFS($F$2:F39,1))</f>
        <v/>
      </c>
    </row>
    <row r="40">
      <c r="A40" t="inlineStr">
        <is>
          <t>10-03</t>
        </is>
      </c>
      <c r="B40" t="inlineStr">
        <is>
          <t>10-03 — Cost &amp; Latency Optimization for LLM Systems</t>
        </is>
      </c>
      <c r="C40" t="inlineStr">
        <is>
          <t>10 Production Infra</t>
        </is>
      </c>
      <c r="D40" t="n">
        <v>14</v>
      </c>
      <c r="E40">
        <f>IFERROR(VLOOKUP(A40,Modules!$A:$I,9,FALSE),"")</f>
        <v/>
      </c>
      <c r="F40">
        <f>IF(OR(E40="Not started",E40="In progress"),1,0)</f>
        <v/>
      </c>
      <c r="G40">
        <f>IF(F40=0,"",COUNTIFS($F$2:F40,1))</f>
        <v/>
      </c>
    </row>
    <row r="41">
      <c r="A41" t="inlineStr">
        <is>
          <t>10-04</t>
        </is>
      </c>
      <c r="B41" t="inlineStr">
        <is>
          <t>10-04 — Redis, Kafka &amp; Ray: Async Infrastructure for AI Platforms</t>
        </is>
      </c>
      <c r="C41" t="inlineStr">
        <is>
          <t>10 Production Infra</t>
        </is>
      </c>
      <c r="D41" t="n">
        <v>14</v>
      </c>
      <c r="E41">
        <f>IFERROR(VLOOKUP(A41,Modules!$A:$I,9,FALSE),"")</f>
        <v/>
      </c>
      <c r="F41">
        <f>IF(OR(E41="Not started",E41="In progress"),1,0)</f>
        <v/>
      </c>
      <c r="G41">
        <f>IF(F41=0,"",COUNTIFS($F$2:F41,1))</f>
        <v/>
      </c>
    </row>
    <row r="42">
      <c r="A42" t="inlineStr">
        <is>
          <t>11-01</t>
        </is>
      </c>
      <c r="B42" t="inlineStr">
        <is>
          <t>11-01 — OWASP LLM Top 10: Threat Model for Production AI</t>
        </is>
      </c>
      <c r="C42" t="inlineStr">
        <is>
          <t>11 Security &amp; Safety</t>
        </is>
      </c>
      <c r="D42" t="n">
        <v>15</v>
      </c>
      <c r="E42">
        <f>IFERROR(VLOOKUP(A42,Modules!$A:$I,9,FALSE),"")</f>
        <v/>
      </c>
      <c r="F42">
        <f>IF(OR(E42="Not started",E42="In progress"),1,0)</f>
        <v/>
      </c>
      <c r="G42">
        <f>IF(F42=0,"",COUNTIFS($F$2:F42,1))</f>
        <v/>
      </c>
    </row>
    <row r="43">
      <c r="A43" t="inlineStr">
        <is>
          <t>11-02</t>
        </is>
      </c>
      <c r="B43" t="inlineStr">
        <is>
          <t>11-02 — Prompt Injection Defense: Direct, Indirect, and Production Controls</t>
        </is>
      </c>
      <c r="C43" t="inlineStr">
        <is>
          <t>11 Security &amp; Safety</t>
        </is>
      </c>
      <c r="D43" t="n">
        <v>15</v>
      </c>
      <c r="E43">
        <f>IFERROR(VLOOKUP(A43,Modules!$A:$I,9,FALSE),"")</f>
        <v/>
      </c>
      <c r="F43">
        <f>IF(OR(E43="Not started",E43="In progress"),1,0)</f>
        <v/>
      </c>
      <c r="G43">
        <f>IF(F43=0,"",COUNTIFS($F$2:F43,1))</f>
        <v/>
      </c>
    </row>
    <row r="44">
      <c r="A44" t="inlineStr">
        <is>
          <t>12-01</t>
        </is>
      </c>
      <c r="B44" t="inlineStr">
        <is>
          <t>12-01 — Agentic Research Systems: Plan, Tools, Guardrails, Memory, Evals</t>
        </is>
      </c>
      <c r="C44" t="inlineStr">
        <is>
          <t>12 Advanced Topics</t>
        </is>
      </c>
      <c r="D44" t="n">
        <v>15</v>
      </c>
      <c r="E44">
        <f>IFERROR(VLOOKUP(A44,Modules!$A:$I,9,FALSE),"")</f>
        <v/>
      </c>
      <c r="F44">
        <f>IF(OR(E44="Not started",E44="In progress"),1,0)</f>
        <v/>
      </c>
      <c r="G44">
        <f>IF(F44=0,"",COUNTIFS($F$2:F44,1))</f>
        <v/>
      </c>
    </row>
    <row r="45">
      <c r="A45" t="inlineStr">
        <is>
          <t>12-02</t>
        </is>
      </c>
      <c r="B45" t="inlineStr">
        <is>
          <t>12-02 — Text-to-SQL Agents: Schema Retrieval, Safety, Spider-Style Evals</t>
        </is>
      </c>
      <c r="C45" t="inlineStr">
        <is>
          <t>12 Advanced Topics</t>
        </is>
      </c>
      <c r="D45" t="n">
        <v>15</v>
      </c>
      <c r="E45">
        <f>IFERROR(VLOOKUP(A45,Modules!$A:$I,9,FALSE),"")</f>
        <v/>
      </c>
      <c r="F45">
        <f>IF(OR(E45="Not started",E45="In progress"),1,0)</f>
        <v/>
      </c>
      <c r="G45">
        <f>IF(F45=0,"",COUNTIFS($F$2:F45,1))</f>
        <v/>
      </c>
    </row>
    <row r="46">
      <c r="A46" t="inlineStr">
        <is>
          <t>12-03</t>
        </is>
      </c>
      <c r="B46" t="inlineStr">
        <is>
          <t>12-03 — Self-Improving Agents: Generate, Test, Refine in Sandboxes</t>
        </is>
      </c>
      <c r="C46" t="inlineStr">
        <is>
          <t>12 Advanced Topics</t>
        </is>
      </c>
      <c r="D46" t="n">
        <v>16</v>
      </c>
      <c r="E46">
        <f>IFERROR(VLOOKUP(A46,Modules!$A:$I,9,FALSE),"")</f>
        <v/>
      </c>
      <c r="F46">
        <f>IF(OR(E46="Not started",E46="In progress"),1,0)</f>
        <v/>
      </c>
      <c r="G46">
        <f>IF(F46=0,"",COUNTIFS($F$2:F46,1))</f>
        <v/>
      </c>
    </row>
    <row r="47">
      <c r="A47" t="inlineStr">
        <is>
          <t>12-04</t>
        </is>
      </c>
      <c r="B47" t="inlineStr">
        <is>
          <t>12-04 — DSPy: Programmatic Prompting &amp; Optimization</t>
        </is>
      </c>
      <c r="C47" t="inlineStr">
        <is>
          <t>12 Advanced Topics</t>
        </is>
      </c>
      <c r="D47" t="n">
        <v>16</v>
      </c>
      <c r="E47">
        <f>IFERROR(VLOOKUP(A47,Modules!$A:$I,9,FALSE),"")</f>
        <v/>
      </c>
      <c r="F47">
        <f>IF(OR(E47="Not started",E47="In progress"),1,0)</f>
        <v/>
      </c>
      <c r="G47">
        <f>IF(F47=0,"",COUNTIFS($F$2:F47,1))</f>
        <v/>
      </c>
    </row>
    <row r="48">
      <c r="A48" t="inlineStr">
        <is>
          <t>12-05</t>
        </is>
      </c>
      <c r="B48" t="inlineStr">
        <is>
          <t>12-05 — AI Coding Agents (Codex, Claude Code, Cursor)</t>
        </is>
      </c>
      <c r="C48" t="inlineStr">
        <is>
          <t>12 Advanced Topics</t>
        </is>
      </c>
      <c r="D48" t="n">
        <v>16</v>
      </c>
      <c r="E48">
        <f>IFERROR(VLOOKUP(A48,Modules!$A:$I,9,FALSE),"")</f>
        <v/>
      </c>
      <c r="F48">
        <f>IF(OR(E48="Not started",E48="In progress"),1,0)</f>
        <v/>
      </c>
      <c r="G48">
        <f>IF(F48=0,"",COUNTIFS($F$2:F48,1))</f>
        <v/>
      </c>
    </row>
    <row r="49">
      <c r="A49" t="inlineStr">
        <is>
          <t>12-06</t>
        </is>
      </c>
      <c r="B49" t="inlineStr">
        <is>
          <t>12-06 — AI Product Thinking</t>
        </is>
      </c>
      <c r="C49" t="inlineStr">
        <is>
          <t>12 Advanced Topics</t>
        </is>
      </c>
      <c r="D49" t="n">
        <v>16</v>
      </c>
      <c r="E49">
        <f>IFERROR(VLOOKUP(A49,Modules!$A:$I,9,FALSE),"")</f>
        <v/>
      </c>
      <c r="F49">
        <f>IF(OR(E49="Not started",E49="In progress"),1,0)</f>
        <v/>
      </c>
      <c r="G49">
        <f>IF(F49=0,"",COUNTIFS($F$2:F49,1))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2026-07-25T17:44:16Z</dcterms:created>
  <dcterms:modified xsi:type="dcterms:W3CDTF">2026-07-25T17:44:17Z</dcterms:modified>
</cp:coreProperties>
</file>